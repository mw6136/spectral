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ull" sheetId="1" state="visible" r:id="rId3"/>
    <sheet name="Figure 6a" sheetId="2" state="visible" r:id="rId4"/>
    <sheet name="Figure 5" sheetId="3" state="visible" r:id="rId5"/>
    <sheet name="Table 1" sheetId="4" state="visible" r:id="rId6"/>
    <sheet name="Table 2" sheetId="5" state="visible" r:id="rId7"/>
    <sheet name="Table 3" sheetId="6" state="visible" r:id="rId8"/>
    <sheet name="Table 8a" sheetId="7" state="visible" r:id="rId9"/>
    <sheet name="Table 8b" sheetId="8" state="visible" r:id="rId10"/>
    <sheet name="Table 9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<sst xmlns="http://schemas.openxmlformats.org/spreadsheetml/2006/main" count="977" uniqueCount="104">
  <si>
    <t xml:space="preserve">Name</t>
  </si>
  <si>
    <t xml:space="preserve">Experiment</t>
  </si>
  <si>
    <t xml:space="preserve">Phi_O2</t>
  </si>
  <si>
    <t xml:space="preserve">P (MPa)</t>
  </si>
  <si>
    <t xml:space="preserve">u'/sl</t>
  </si>
  <si>
    <t xml:space="preserve">l0/dl</t>
  </si>
  <si>
    <t xml:space="preserve">st/sl_c=0.05</t>
  </si>
  <si>
    <t xml:space="preserve">st/sl_c=0.1</t>
  </si>
  <si>
    <t xml:space="preserve">st/sl_c=0.2</t>
  </si>
  <si>
    <t xml:space="preserve">st/sl_c=0.5</t>
  </si>
  <si>
    <t xml:space="preserve">st/sl_c=NA</t>
  </si>
  <si>
    <t xml:space="preserve">T(K)</t>
  </si>
  <si>
    <t xml:space="preserve">Le</t>
  </si>
  <si>
    <t xml:space="preserve">Fuel</t>
  </si>
  <si>
    <t xml:space="preserve">At/Al_grad_c</t>
  </si>
  <si>
    <t xml:space="preserve">At/Al_shepherd</t>
  </si>
  <si>
    <t xml:space="preserve">Burner Diameter (mm)</t>
  </si>
  <si>
    <t xml:space="preserve">Taylor (mm)</t>
  </si>
  <si>
    <t xml:space="preserve">eta (mm)</t>
  </si>
  <si>
    <t xml:space="preserve">Re_T</t>
  </si>
  <si>
    <t xml:space="preserve">Re_d</t>
  </si>
  <si>
    <t xml:space="preserve">Ka (provided)</t>
  </si>
  <si>
    <t xml:space="preserve">Da (provided)</t>
  </si>
  <si>
    <t xml:space="preserve">D (cm2/s)</t>
  </si>
  <si>
    <t xml:space="preserve">nu (cm2/s)</t>
  </si>
  <si>
    <t xml:space="preserve">alpha (cm2/s)</t>
  </si>
  <si>
    <t xml:space="preserve">Pilot (Y/N)</t>
  </si>
  <si>
    <t xml:space="preserve">Pilot Fuel</t>
  </si>
  <si>
    <t xml:space="preserve">U_mean (m/s)</t>
  </si>
  <si>
    <t xml:space="preserve">u' (m/s)</t>
  </si>
  <si>
    <t xml:space="preserve">sl (m/s)</t>
  </si>
  <si>
    <t xml:space="preserve">l0 (mm)</t>
  </si>
  <si>
    <t xml:space="preserve">dl (mm)</t>
  </si>
  <si>
    <t xml:space="preserve">Ma</t>
  </si>
  <si>
    <t xml:space="preserve">fan RPM</t>
  </si>
  <si>
    <t xml:space="preserve">S_f or dR/dt (m/s)</t>
  </si>
  <si>
    <t xml:space="preserve">Re_R</t>
  </si>
  <si>
    <t xml:space="preserve">f (Hz)</t>
  </si>
  <si>
    <t xml:space="preserve">wf_max (cm/s)</t>
  </si>
  <si>
    <t xml:space="preserve">wf_min (cm/s)</t>
  </si>
  <si>
    <t xml:space="preserve">wf_max/wf_min</t>
  </si>
  <si>
    <t xml:space="preserve">r/R</t>
  </si>
  <si>
    <t xml:space="preserve">l/R</t>
  </si>
  <si>
    <t xml:space="preserve">D1</t>
  </si>
  <si>
    <t xml:space="preserve">Damkohler_1940</t>
  </si>
  <si>
    <t xml:space="preserve">NA</t>
  </si>
  <si>
    <t xml:space="preserve">85%C3H8_15%C4H10</t>
  </si>
  <si>
    <t xml:space="preserve">N</t>
  </si>
  <si>
    <t xml:space="preserve">wft/wfl</t>
  </si>
  <si>
    <t xml:space="preserve">% C3H8 (%)</t>
  </si>
  <si>
    <t xml:space="preserve">turb/lam</t>
  </si>
  <si>
    <t xml:space="preserve">inner/outer</t>
  </si>
  <si>
    <t xml:space="preserve">Tube diameter (mm)</t>
  </si>
  <si>
    <t xml:space="preserve">wf (m/s)</t>
  </si>
  <si>
    <t xml:space="preserve">turbulent</t>
  </si>
  <si>
    <t xml:space="preserve">inner</t>
  </si>
  <si>
    <t xml:space="preserve">Tube</t>
  </si>
  <si>
    <t xml:space="preserve">Length (mm)</t>
  </si>
  <si>
    <t xml:space="preserve">Inner D (mm)</t>
  </si>
  <si>
    <t xml:space="preserve">Outer D (mm)</t>
  </si>
  <si>
    <t xml:space="preserve">wall thickness (mm)</t>
  </si>
  <si>
    <t xml:space="preserve">L/d</t>
  </si>
  <si>
    <t xml:space="preserve">Test</t>
  </si>
  <si>
    <t xml:space="preserve">V_dot_C3H8 (cm3/s)</t>
  </si>
  <si>
    <t xml:space="preserve">V_dot_O2 (cm3/s)</t>
  </si>
  <si>
    <t xml:space="preserve">V_dot_total, G (cm3/s)</t>
  </si>
  <si>
    <t xml:space="preserve">% C3H8</t>
  </si>
  <si>
    <t xml:space="preserve">delta P (mmHg)</t>
  </si>
  <si>
    <t xml:space="preserve">delta P (G)</t>
  </si>
  <si>
    <t xml:space="preserve">mu (g/cms)</t>
  </si>
  <si>
    <t xml:space="preserve">rho (g/cm3)</t>
  </si>
  <si>
    <t xml:space="preserve">Afstoic_85%_propane_15%_butane</t>
  </si>
  <si>
    <t xml:space="preserve">inf</t>
  </si>
  <si>
    <t xml:space="preserve">Mole weight "propane"</t>
  </si>
  <si>
    <t xml:space="preserve">V_dot_"propane" (cm3/s)</t>
  </si>
  <si>
    <t xml:space="preserve">method</t>
  </si>
  <si>
    <t xml:space="preserve">S_max</t>
  </si>
  <si>
    <t xml:space="preserve">S_min</t>
  </si>
  <si>
    <t xml:space="preserve">R'_max</t>
  </si>
  <si>
    <t xml:space="preserve">R'_min</t>
  </si>
  <si>
    <t xml:space="preserve">F_max (cm2)</t>
  </si>
  <si>
    <t xml:space="preserve">F_min (cm2)</t>
  </si>
  <si>
    <t xml:space="preserve">u (cm/s)</t>
  </si>
  <si>
    <t xml:space="preserve">sqrt(Re)</t>
  </si>
  <si>
    <t xml:space="preserve">noiseless</t>
  </si>
  <si>
    <t xml:space="preserve">whistle</t>
  </si>
  <si>
    <t xml:space="preserve">S/d_max</t>
  </si>
  <si>
    <t xml:space="preserve">S/d_min</t>
  </si>
  <si>
    <t xml:space="preserve">K</t>
  </si>
  <si>
    <t xml:space="preserve">Y</t>
  </si>
  <si>
    <t xml:space="preserve">Ph</t>
  </si>
  <si>
    <t xml:space="preserve">laminar</t>
  </si>
  <si>
    <t xml:space="preserve">nuclear flow</t>
  </si>
  <si>
    <t xml:space="preserve">Re</t>
  </si>
  <si>
    <t xml:space="preserve">epsilon/nu</t>
  </si>
  <si>
    <t xml:space="preserve">sqrt(epsilon/nu)</t>
  </si>
  <si>
    <t xml:space="preserve">x/R</t>
  </si>
  <si>
    <t xml:space="preserve">bl/R</t>
  </si>
  <si>
    <t xml:space="preserve">ba/R</t>
  </si>
  <si>
    <t xml:space="preserve">(bi+ba)/R</t>
  </si>
  <si>
    <t xml:space="preserve">any</t>
  </si>
  <si>
    <t xml:space="preserve">u_mean/w_fl</t>
  </si>
  <si>
    <t xml:space="preserve">S/R</t>
  </si>
  <si>
    <t xml:space="preserve">R'/R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</si>
</sst>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theme="5" tint="0.7999"/>
        <bgColor rgb="FFFFFFFF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0" t="s">
        <v>21</v>
      </c>
      <c r="W1" s="0" t="s">
        <v>22</v>
      </c>
      <c r="X1" s="0" t="s">
        <v>23</v>
      </c>
      <c r="Y1" s="0" t="s">
        <v>24</v>
      </c>
      <c r="Z1" s="0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0" t="s">
        <v>30</v>
      </c>
      <c r="AF1" s="0" t="s">
        <v>31</v>
      </c>
      <c r="AG1" s="0" t="s">
        <v>32</v>
      </c>
      <c r="AH1" s="0" t="s">
        <v>33</v>
      </c>
      <c r="AI1" s="0" t="s">
        <v>34</v>
      </c>
      <c r="AJ1" s="0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</row>
    <row r="2" s="1" customFormat="true" ht="15" hidden="false" customHeight="false" outlineLevel="0" collapsed="false">
      <c r="A2" s="1" t="s">
        <v>43</v>
      </c>
      <c r="B2" s="1" t="s">
        <v>44</v>
      </c>
      <c r="C2" s="1" t="n">
        <v>0.514235500878735</v>
      </c>
      <c r="D2" s="1" t="n">
        <v>0.1</v>
      </c>
      <c r="E2" s="1" t="n">
        <v>0</v>
      </c>
      <c r="F2" s="1" t="n">
        <f aca="false">AF2/AG2</f>
        <v>11</v>
      </c>
      <c r="G2" s="1" t="s">
        <v>45</v>
      </c>
      <c r="H2" s="1" t="s">
        <v>45</v>
      </c>
      <c r="I2" s="1" t="s">
        <v>45</v>
      </c>
      <c r="J2" s="1" t="s">
        <v>45</v>
      </c>
      <c r="K2" s="1" t="s">
        <v>45</v>
      </c>
      <c r="L2" s="1" t="n">
        <v>291</v>
      </c>
      <c r="M2" s="1" t="s">
        <v>45</v>
      </c>
      <c r="N2" s="1" t="s">
        <v>46</v>
      </c>
      <c r="O2" s="1" t="s">
        <v>45</v>
      </c>
      <c r="P2" s="1" t="s">
        <v>45</v>
      </c>
      <c r="Q2" s="1" t="n">
        <v>1.385</v>
      </c>
      <c r="R2" s="1" t="s">
        <v>45</v>
      </c>
      <c r="S2" s="1" t="s">
        <v>45</v>
      </c>
      <c r="T2" s="1" t="n">
        <f aca="false">U2-2300</f>
        <v>-745</v>
      </c>
      <c r="U2" s="1" t="n">
        <v>1555</v>
      </c>
      <c r="V2" s="1" t="s">
        <v>45</v>
      </c>
      <c r="W2" s="1" t="s">
        <v>45</v>
      </c>
      <c r="X2" s="1" t="s">
        <v>45</v>
      </c>
      <c r="Y2" s="1" t="n">
        <v>0.14</v>
      </c>
      <c r="Z2" s="1" t="s">
        <v>45</v>
      </c>
      <c r="AA2" s="1" t="s">
        <v>47</v>
      </c>
      <c r="AB2" s="1" t="s">
        <v>45</v>
      </c>
      <c r="AC2" s="1" t="n">
        <v>15.71</v>
      </c>
      <c r="AD2" s="1" t="s">
        <v>45</v>
      </c>
      <c r="AE2" s="1" t="s">
        <v>45</v>
      </c>
      <c r="AF2" s="1" t="n">
        <v>0.11</v>
      </c>
      <c r="AG2" s="1" t="n">
        <v>0.01</v>
      </c>
      <c r="AH2" s="1" t="s">
        <v>45</v>
      </c>
      <c r="AI2" s="1" t="s">
        <v>45</v>
      </c>
      <c r="AJ2" s="1" t="s">
        <v>45</v>
      </c>
      <c r="AK2" s="1" t="s">
        <v>45</v>
      </c>
      <c r="AL2" s="1" t="s">
        <v>45</v>
      </c>
      <c r="AM2" s="1" t="s">
        <v>45</v>
      </c>
      <c r="AN2" s="1" t="n">
        <v>202</v>
      </c>
      <c r="AO2" s="1" t="s">
        <v>45</v>
      </c>
      <c r="AP2" s="1" t="n">
        <v>0</v>
      </c>
      <c r="AQ2" s="1" t="n">
        <f aca="false">AF2/(Q2/2)</f>
        <v>0.15884476534296</v>
      </c>
    </row>
    <row r="3" s="1" customFormat="true" ht="15" hidden="false" customHeight="false" outlineLevel="0" collapsed="false">
      <c r="A3" s="1" t="s">
        <v>43</v>
      </c>
      <c r="B3" s="1" t="s">
        <v>44</v>
      </c>
      <c r="C3" s="1" t="n">
        <v>0.741655247230787</v>
      </c>
      <c r="D3" s="1" t="n">
        <v>0.1</v>
      </c>
      <c r="E3" s="1" t="n">
        <v>0</v>
      </c>
      <c r="F3" s="1" t="n">
        <f aca="false">AF3/AG3</f>
        <v>11</v>
      </c>
      <c r="G3" s="1" t="s">
        <v>45</v>
      </c>
      <c r="H3" s="1" t="s">
        <v>45</v>
      </c>
      <c r="I3" s="1" t="s">
        <v>45</v>
      </c>
      <c r="J3" s="1" t="s">
        <v>45</v>
      </c>
      <c r="K3" s="1" t="s">
        <v>45</v>
      </c>
      <c r="L3" s="1" t="n">
        <v>291</v>
      </c>
      <c r="M3" s="1" t="s">
        <v>45</v>
      </c>
      <c r="N3" s="1" t="s">
        <v>46</v>
      </c>
      <c r="O3" s="1" t="s">
        <v>45</v>
      </c>
      <c r="P3" s="1" t="s">
        <v>45</v>
      </c>
      <c r="Q3" s="1" t="n">
        <v>1.385</v>
      </c>
      <c r="R3" s="1" t="s">
        <v>45</v>
      </c>
      <c r="S3" s="1" t="s">
        <v>45</v>
      </c>
      <c r="T3" s="1" t="n">
        <f aca="false">U3-2300</f>
        <v>-879</v>
      </c>
      <c r="U3" s="1" t="n">
        <v>1421</v>
      </c>
      <c r="V3" s="1" t="s">
        <v>45</v>
      </c>
      <c r="W3" s="1" t="s">
        <v>45</v>
      </c>
      <c r="X3" s="1" t="s">
        <v>45</v>
      </c>
      <c r="Y3" s="1" t="n">
        <v>0.135</v>
      </c>
      <c r="Z3" s="1" t="s">
        <v>45</v>
      </c>
      <c r="AA3" s="1" t="s">
        <v>47</v>
      </c>
      <c r="AB3" s="1" t="s">
        <v>45</v>
      </c>
      <c r="AC3" s="1" t="n">
        <v>13.83</v>
      </c>
      <c r="AD3" s="1" t="s">
        <v>45</v>
      </c>
      <c r="AE3" s="1" t="s">
        <v>45</v>
      </c>
      <c r="AF3" s="1" t="n">
        <v>0.11</v>
      </c>
      <c r="AG3" s="1" t="n">
        <v>0.01</v>
      </c>
      <c r="AH3" s="1" t="s">
        <v>45</v>
      </c>
      <c r="AI3" s="1" t="s">
        <v>45</v>
      </c>
      <c r="AJ3" s="1" t="s">
        <v>45</v>
      </c>
      <c r="AK3" s="1" t="s">
        <v>45</v>
      </c>
      <c r="AL3" s="1" t="s">
        <v>45</v>
      </c>
      <c r="AM3" s="1" t="s">
        <v>45</v>
      </c>
      <c r="AN3" s="1" t="n">
        <v>266</v>
      </c>
      <c r="AO3" s="1" t="s">
        <v>45</v>
      </c>
      <c r="AP3" s="1" t="n">
        <v>0</v>
      </c>
      <c r="AQ3" s="1" t="n">
        <f aca="false">AF3/(Q3/2)</f>
        <v>0.15884476534296</v>
      </c>
    </row>
    <row r="4" customFormat="false" ht="15" hidden="false" customHeight="false" outlineLevel="0" collapsed="false">
      <c r="A4" s="0" t="s">
        <v>43</v>
      </c>
      <c r="B4" s="0" t="s">
        <v>44</v>
      </c>
      <c r="C4" s="0" t="n">
        <v>0.729415954415954</v>
      </c>
      <c r="D4" s="0" t="n">
        <v>0.1</v>
      </c>
      <c r="E4" s="1" t="n">
        <f aca="false">SQRT(U4-2300)/F4</f>
        <v>3.70391796135697</v>
      </c>
      <c r="F4" s="1" t="n">
        <f aca="false">AF4/AG4</f>
        <v>11</v>
      </c>
      <c r="G4" s="2" t="s">
        <v>45</v>
      </c>
      <c r="H4" s="2" t="s">
        <v>45</v>
      </c>
      <c r="I4" s="2" t="s">
        <v>45</v>
      </c>
      <c r="J4" s="2" t="s">
        <v>45</v>
      </c>
      <c r="K4" s="2" t="s">
        <v>45</v>
      </c>
      <c r="L4" s="0" t="n">
        <v>291</v>
      </c>
      <c r="M4" s="2" t="s">
        <v>45</v>
      </c>
      <c r="N4" s="2" t="s">
        <v>46</v>
      </c>
      <c r="O4" s="2" t="s">
        <v>45</v>
      </c>
      <c r="P4" s="2" t="s">
        <v>45</v>
      </c>
      <c r="Q4" s="0" t="n">
        <v>1.385</v>
      </c>
      <c r="R4" s="2" t="s">
        <v>45</v>
      </c>
      <c r="S4" s="2" t="s">
        <v>45</v>
      </c>
      <c r="T4" s="1" t="n">
        <f aca="false">U4-2300</f>
        <v>1660</v>
      </c>
      <c r="U4" s="0" t="n">
        <v>3960</v>
      </c>
      <c r="V4" s="2" t="s">
        <v>45</v>
      </c>
      <c r="W4" s="2" t="s">
        <v>45</v>
      </c>
      <c r="X4" s="2" t="s">
        <v>45</v>
      </c>
      <c r="Y4" s="0" t="n">
        <v>0.135</v>
      </c>
      <c r="Z4" s="2" t="s">
        <v>45</v>
      </c>
      <c r="AA4" s="2" t="s">
        <v>47</v>
      </c>
      <c r="AB4" s="2" t="s">
        <v>45</v>
      </c>
      <c r="AC4" s="0" t="n">
        <v>38.6</v>
      </c>
      <c r="AD4" s="2" t="s">
        <v>45</v>
      </c>
      <c r="AE4" s="2" t="s">
        <v>45</v>
      </c>
      <c r="AF4" s="0" t="n">
        <v>0.11</v>
      </c>
      <c r="AG4" s="0" t="n">
        <v>0.01</v>
      </c>
      <c r="AH4" s="2" t="s">
        <v>45</v>
      </c>
      <c r="AI4" s="2" t="s">
        <v>45</v>
      </c>
      <c r="AJ4" s="2" t="s">
        <v>45</v>
      </c>
      <c r="AK4" s="2" t="s">
        <v>45</v>
      </c>
      <c r="AL4" s="2" t="s">
        <v>45</v>
      </c>
      <c r="AM4" s="2" t="s">
        <v>45</v>
      </c>
      <c r="AN4" s="0" t="n">
        <v>248.5</v>
      </c>
      <c r="AO4" s="2" t="s">
        <v>45</v>
      </c>
      <c r="AP4" s="0" t="n">
        <v>0</v>
      </c>
      <c r="AQ4" s="2" t="n">
        <f aca="false">AF4/(Q4/2)</f>
        <v>0.15884476534296</v>
      </c>
    </row>
    <row r="5" customFormat="false" ht="15" hidden="false" customHeight="false" outlineLevel="0" collapsed="false">
      <c r="A5" s="0" t="s">
        <v>43</v>
      </c>
      <c r="B5" s="0" t="s">
        <v>44</v>
      </c>
      <c r="C5" s="0" t="n">
        <v>0.693667874943362</v>
      </c>
      <c r="D5" s="0" t="n">
        <v>0.1</v>
      </c>
      <c r="E5" s="1" t="n">
        <f aca="false">SQRT(U5-2300)/F5</f>
        <v>2.28722647734711</v>
      </c>
      <c r="F5" s="1" t="n">
        <f aca="false">AF5/AG5</f>
        <v>11</v>
      </c>
      <c r="G5" s="2" t="s">
        <v>45</v>
      </c>
      <c r="H5" s="2" t="s">
        <v>45</v>
      </c>
      <c r="I5" s="2" t="s">
        <v>45</v>
      </c>
      <c r="J5" s="2" t="s">
        <v>45</v>
      </c>
      <c r="K5" s="2" t="s">
        <v>45</v>
      </c>
      <c r="L5" s="0" t="n">
        <v>291</v>
      </c>
      <c r="M5" s="2" t="s">
        <v>45</v>
      </c>
      <c r="N5" s="2" t="s">
        <v>46</v>
      </c>
      <c r="O5" s="2" t="s">
        <v>45</v>
      </c>
      <c r="P5" s="2" t="s">
        <v>45</v>
      </c>
      <c r="Q5" s="0" t="n">
        <v>1.385</v>
      </c>
      <c r="R5" s="2" t="s">
        <v>45</v>
      </c>
      <c r="S5" s="2" t="s">
        <v>45</v>
      </c>
      <c r="T5" s="1" t="n">
        <f aca="false">U5-2300</f>
        <v>633</v>
      </c>
      <c r="U5" s="0" t="n">
        <v>2933</v>
      </c>
      <c r="V5" s="2" t="s">
        <v>45</v>
      </c>
      <c r="W5" s="2" t="s">
        <v>45</v>
      </c>
      <c r="X5" s="2" t="s">
        <v>45</v>
      </c>
      <c r="Y5" s="0" t="n">
        <v>0.136</v>
      </c>
      <c r="Z5" s="2" t="s">
        <v>45</v>
      </c>
      <c r="AA5" s="2" t="s">
        <v>47</v>
      </c>
      <c r="AB5" s="2" t="s">
        <v>45</v>
      </c>
      <c r="AC5" s="0" t="n">
        <v>28.74</v>
      </c>
      <c r="AD5" s="2" t="s">
        <v>45</v>
      </c>
      <c r="AE5" s="2" t="s">
        <v>45</v>
      </c>
      <c r="AF5" s="0" t="n">
        <v>0.11</v>
      </c>
      <c r="AG5" s="0" t="n">
        <v>0.01</v>
      </c>
      <c r="AH5" s="2" t="s">
        <v>45</v>
      </c>
      <c r="AI5" s="2" t="s">
        <v>45</v>
      </c>
      <c r="AJ5" s="2" t="s">
        <v>45</v>
      </c>
      <c r="AK5" s="2" t="s">
        <v>45</v>
      </c>
      <c r="AL5" s="2" t="s">
        <v>45</v>
      </c>
      <c r="AM5" s="2" t="s">
        <v>45</v>
      </c>
      <c r="AN5" s="0" t="n">
        <v>252.7</v>
      </c>
      <c r="AO5" s="2" t="s">
        <v>45</v>
      </c>
      <c r="AP5" s="0" t="n">
        <v>0</v>
      </c>
      <c r="AQ5" s="2" t="n">
        <f aca="false">AF5/(Q5/2)</f>
        <v>0.15884476534296</v>
      </c>
    </row>
    <row r="6" s="1" customFormat="true" ht="15" hidden="false" customHeight="false" outlineLevel="0" collapsed="false">
      <c r="A6" s="1" t="s">
        <v>43</v>
      </c>
      <c r="B6" s="1" t="s">
        <v>44</v>
      </c>
      <c r="C6" s="1" t="n">
        <v>1.05127627627628</v>
      </c>
      <c r="D6" s="1" t="n">
        <v>0.1</v>
      </c>
      <c r="E6" s="1" t="n">
        <v>0</v>
      </c>
      <c r="F6" s="1" t="n">
        <f aca="false">AF6/AG6</f>
        <v>11</v>
      </c>
      <c r="G6" s="1" t="s">
        <v>45</v>
      </c>
      <c r="H6" s="1" t="s">
        <v>45</v>
      </c>
      <c r="I6" s="1" t="s">
        <v>45</v>
      </c>
      <c r="J6" s="1" t="s">
        <v>45</v>
      </c>
      <c r="K6" s="1" t="s">
        <v>45</v>
      </c>
      <c r="L6" s="1" t="n">
        <v>291</v>
      </c>
      <c r="M6" s="1" t="s">
        <v>45</v>
      </c>
      <c r="N6" s="1" t="s">
        <v>46</v>
      </c>
      <c r="O6" s="1" t="s">
        <v>45</v>
      </c>
      <c r="P6" s="1" t="s">
        <v>45</v>
      </c>
      <c r="Q6" s="1" t="n">
        <v>1.385</v>
      </c>
      <c r="R6" s="1" t="s">
        <v>45</v>
      </c>
      <c r="S6" s="1" t="s">
        <v>45</v>
      </c>
      <c r="T6" s="1" t="n">
        <f aca="false">U6-2300</f>
        <v>-1181</v>
      </c>
      <c r="U6" s="1" t="n">
        <v>1119</v>
      </c>
      <c r="V6" s="1" t="s">
        <v>45</v>
      </c>
      <c r="W6" s="1" t="s">
        <v>45</v>
      </c>
      <c r="X6" s="1" t="s">
        <v>45</v>
      </c>
      <c r="Y6" s="1" t="n">
        <v>0.129</v>
      </c>
      <c r="Z6" s="1" t="s">
        <v>45</v>
      </c>
      <c r="AA6" s="1" t="s">
        <v>47</v>
      </c>
      <c r="AB6" s="1" t="s">
        <v>45</v>
      </c>
      <c r="AC6" s="1" t="n">
        <v>10.42</v>
      </c>
      <c r="AD6" s="1" t="s">
        <v>45</v>
      </c>
      <c r="AE6" s="1" t="s">
        <v>45</v>
      </c>
      <c r="AF6" s="1" t="n">
        <v>0.11</v>
      </c>
      <c r="AG6" s="1" t="n">
        <v>0.01</v>
      </c>
      <c r="AH6" s="1" t="s">
        <v>45</v>
      </c>
      <c r="AI6" s="1" t="s">
        <v>45</v>
      </c>
      <c r="AJ6" s="1" t="s">
        <v>45</v>
      </c>
      <c r="AK6" s="1" t="s">
        <v>45</v>
      </c>
      <c r="AL6" s="1" t="s">
        <v>45</v>
      </c>
      <c r="AM6" s="1" t="n">
        <v>321</v>
      </c>
      <c r="AN6" s="1" t="n">
        <v>275</v>
      </c>
      <c r="AO6" s="1" t="n">
        <v>1.17</v>
      </c>
      <c r="AP6" s="1" t="n">
        <v>0</v>
      </c>
      <c r="AQ6" s="1" t="n">
        <f aca="false">AF6/(Q6/2)</f>
        <v>0.15884476534296</v>
      </c>
    </row>
    <row r="7" s="1" customFormat="true" ht="15" hidden="false" customHeight="false" outlineLevel="0" collapsed="false">
      <c r="A7" s="1" t="s">
        <v>43</v>
      </c>
      <c r="B7" s="1" t="s">
        <v>44</v>
      </c>
      <c r="C7" s="1" t="n">
        <v>1.83771965396053</v>
      </c>
      <c r="D7" s="1" t="n">
        <v>0.1</v>
      </c>
      <c r="E7" s="1" t="n">
        <v>0</v>
      </c>
      <c r="F7" s="1" t="n">
        <f aca="false">AF7/AG7</f>
        <v>11</v>
      </c>
      <c r="G7" s="1" t="s">
        <v>45</v>
      </c>
      <c r="H7" s="1" t="s">
        <v>45</v>
      </c>
      <c r="I7" s="1" t="s">
        <v>45</v>
      </c>
      <c r="J7" s="1" t="s">
        <v>45</v>
      </c>
      <c r="K7" s="1" t="s">
        <v>45</v>
      </c>
      <c r="L7" s="1" t="n">
        <v>291</v>
      </c>
      <c r="M7" s="1" t="s">
        <v>45</v>
      </c>
      <c r="N7" s="1" t="s">
        <v>46</v>
      </c>
      <c r="O7" s="1" t="s">
        <v>45</v>
      </c>
      <c r="P7" s="1" t="s">
        <v>45</v>
      </c>
      <c r="Q7" s="1" t="n">
        <v>1.385</v>
      </c>
      <c r="R7" s="1" t="s">
        <v>45</v>
      </c>
      <c r="S7" s="1" t="s">
        <v>45</v>
      </c>
      <c r="T7" s="1" t="n">
        <f aca="false">U7-2300</f>
        <v>-1202</v>
      </c>
      <c r="U7" s="1" t="n">
        <v>1098</v>
      </c>
      <c r="V7" s="1" t="s">
        <v>45</v>
      </c>
      <c r="W7" s="1" t="s">
        <v>45</v>
      </c>
      <c r="X7" s="1" t="s">
        <v>45</v>
      </c>
      <c r="Y7" s="1" t="n">
        <v>0.117</v>
      </c>
      <c r="Z7" s="1" t="s">
        <v>45</v>
      </c>
      <c r="AA7" s="1" t="s">
        <v>47</v>
      </c>
      <c r="AB7" s="1" t="s">
        <v>45</v>
      </c>
      <c r="AC7" s="1" t="n">
        <v>9.28</v>
      </c>
      <c r="AD7" s="1" t="s">
        <v>45</v>
      </c>
      <c r="AE7" s="1" t="s">
        <v>45</v>
      </c>
      <c r="AF7" s="1" t="n">
        <v>0.11</v>
      </c>
      <c r="AG7" s="1" t="n">
        <v>0.01</v>
      </c>
      <c r="AH7" s="1" t="s">
        <v>45</v>
      </c>
      <c r="AI7" s="1" t="s">
        <v>45</v>
      </c>
      <c r="AJ7" s="1" t="s">
        <v>45</v>
      </c>
      <c r="AK7" s="1" t="s">
        <v>45</v>
      </c>
      <c r="AL7" s="1" t="s">
        <v>45</v>
      </c>
      <c r="AM7" s="1" t="n">
        <v>205</v>
      </c>
      <c r="AN7" s="1" t="n">
        <v>145.2</v>
      </c>
      <c r="AO7" s="1" t="n">
        <v>1.41</v>
      </c>
      <c r="AP7" s="1" t="n">
        <v>0</v>
      </c>
      <c r="AQ7" s="1" t="n">
        <f aca="false">AF7/(Q7/2)</f>
        <v>0.15884476534296</v>
      </c>
    </row>
    <row r="8" customFormat="false" ht="15" hidden="false" customHeight="false" outlineLevel="0" collapsed="false">
      <c r="A8" s="0" t="s">
        <v>43</v>
      </c>
      <c r="B8" s="0" t="s">
        <v>44</v>
      </c>
      <c r="C8" s="0" t="n">
        <v>1.39730671736375</v>
      </c>
      <c r="D8" s="0" t="n">
        <v>0.1</v>
      </c>
      <c r="E8" s="1" t="n">
        <f aca="false">SQRT(U8-2300)/F8</f>
        <v>2.03278907045435</v>
      </c>
      <c r="F8" s="1" t="n">
        <f aca="false">AF8/AG8</f>
        <v>11</v>
      </c>
      <c r="G8" s="2" t="s">
        <v>45</v>
      </c>
      <c r="H8" s="2" t="s">
        <v>45</v>
      </c>
      <c r="I8" s="2" t="s">
        <v>45</v>
      </c>
      <c r="J8" s="2" t="s">
        <v>45</v>
      </c>
      <c r="K8" s="2" t="s">
        <v>45</v>
      </c>
      <c r="L8" s="0" t="n">
        <v>291</v>
      </c>
      <c r="M8" s="2" t="s">
        <v>45</v>
      </c>
      <c r="N8" s="2" t="s">
        <v>46</v>
      </c>
      <c r="O8" s="2" t="s">
        <v>45</v>
      </c>
      <c r="P8" s="2" t="s">
        <v>45</v>
      </c>
      <c r="Q8" s="0" t="n">
        <v>1.385</v>
      </c>
      <c r="R8" s="2" t="s">
        <v>45</v>
      </c>
      <c r="S8" s="2" t="s">
        <v>45</v>
      </c>
      <c r="T8" s="1" t="n">
        <f aca="false">U8-2300</f>
        <v>500</v>
      </c>
      <c r="U8" s="0" t="n">
        <v>2800</v>
      </c>
      <c r="V8" s="2" t="s">
        <v>45</v>
      </c>
      <c r="W8" s="2" t="s">
        <v>45</v>
      </c>
      <c r="X8" s="2" t="s">
        <v>45</v>
      </c>
      <c r="Y8" s="0" t="n">
        <v>0.123</v>
      </c>
      <c r="Z8" s="2" t="s">
        <v>45</v>
      </c>
      <c r="AA8" s="2" t="s">
        <v>47</v>
      </c>
      <c r="AB8" s="2" t="s">
        <v>45</v>
      </c>
      <c r="AC8" s="0" t="n">
        <v>24.88</v>
      </c>
      <c r="AD8" s="2" t="s">
        <v>45</v>
      </c>
      <c r="AE8" s="2" t="s">
        <v>45</v>
      </c>
      <c r="AF8" s="0" t="n">
        <v>0.11</v>
      </c>
      <c r="AG8" s="0" t="n">
        <v>0.01</v>
      </c>
      <c r="AH8" s="2" t="s">
        <v>45</v>
      </c>
      <c r="AI8" s="2" t="s">
        <v>45</v>
      </c>
      <c r="AJ8" s="2" t="s">
        <v>45</v>
      </c>
      <c r="AK8" s="2" t="s">
        <v>45</v>
      </c>
      <c r="AL8" s="2" t="s">
        <v>45</v>
      </c>
      <c r="AM8" s="0" t="n">
        <v>291.9</v>
      </c>
      <c r="AN8" s="0" t="n">
        <v>211.4</v>
      </c>
      <c r="AO8" s="0" t="n">
        <v>1.38</v>
      </c>
      <c r="AP8" s="0" t="n">
        <v>0</v>
      </c>
      <c r="AQ8" s="2" t="n">
        <f aca="false">AF8/(Q8/2)</f>
        <v>0.15884476534296</v>
      </c>
    </row>
    <row r="9" customFormat="false" ht="15" hidden="false" customHeight="false" outlineLevel="0" collapsed="false">
      <c r="A9" s="0" t="s">
        <v>43</v>
      </c>
      <c r="B9" s="0" t="s">
        <v>44</v>
      </c>
      <c r="C9" s="0" t="n">
        <v>1.93940422322775</v>
      </c>
      <c r="D9" s="0" t="n">
        <v>0.1</v>
      </c>
      <c r="E9" s="1" t="n">
        <f aca="false">SQRT(U9-2300)/F9</f>
        <v>2.46462576576836</v>
      </c>
      <c r="F9" s="1" t="n">
        <f aca="false">AF9/AG9</f>
        <v>11</v>
      </c>
      <c r="G9" s="2" t="s">
        <v>45</v>
      </c>
      <c r="H9" s="2" t="s">
        <v>45</v>
      </c>
      <c r="I9" s="2" t="s">
        <v>45</v>
      </c>
      <c r="J9" s="2" t="s">
        <v>45</v>
      </c>
      <c r="K9" s="2" t="s">
        <v>45</v>
      </c>
      <c r="L9" s="0" t="n">
        <v>291</v>
      </c>
      <c r="M9" s="2" t="s">
        <v>45</v>
      </c>
      <c r="N9" s="2" t="s">
        <v>46</v>
      </c>
      <c r="O9" s="2" t="s">
        <v>45</v>
      </c>
      <c r="P9" s="2" t="s">
        <v>45</v>
      </c>
      <c r="Q9" s="0" t="n">
        <v>1.385</v>
      </c>
      <c r="R9" s="2" t="s">
        <v>45</v>
      </c>
      <c r="S9" s="2" t="s">
        <v>45</v>
      </c>
      <c r="T9" s="1" t="n">
        <f aca="false">U9-2300</f>
        <v>735</v>
      </c>
      <c r="U9" s="0" t="n">
        <v>3035</v>
      </c>
      <c r="V9" s="2" t="s">
        <v>45</v>
      </c>
      <c r="W9" s="2" t="s">
        <v>45</v>
      </c>
      <c r="X9" s="2" t="s">
        <v>45</v>
      </c>
      <c r="Y9" s="0" t="n">
        <v>0.116</v>
      </c>
      <c r="Z9" s="2" t="s">
        <v>45</v>
      </c>
      <c r="AA9" s="2" t="s">
        <v>47</v>
      </c>
      <c r="AB9" s="2" t="s">
        <v>45</v>
      </c>
      <c r="AC9" s="0" t="n">
        <v>25.37</v>
      </c>
      <c r="AD9" s="2" t="s">
        <v>45</v>
      </c>
      <c r="AE9" s="2" t="s">
        <v>45</v>
      </c>
      <c r="AF9" s="0" t="n">
        <v>0.11</v>
      </c>
      <c r="AG9" s="0" t="n">
        <v>0.01</v>
      </c>
      <c r="AH9" s="2" t="s">
        <v>45</v>
      </c>
      <c r="AI9" s="2" t="s">
        <v>45</v>
      </c>
      <c r="AJ9" s="2" t="s">
        <v>45</v>
      </c>
      <c r="AK9" s="2" t="s">
        <v>45</v>
      </c>
      <c r="AL9" s="2" t="s">
        <v>45</v>
      </c>
      <c r="AM9" s="2" t="s">
        <v>45</v>
      </c>
      <c r="AN9" s="0" t="n">
        <v>50.2</v>
      </c>
      <c r="AO9" s="2" t="s">
        <v>45</v>
      </c>
      <c r="AP9" s="0" t="n">
        <v>0</v>
      </c>
      <c r="AQ9" s="2" t="n">
        <f aca="false">AF9/(Q9/2)</f>
        <v>0.15884476534296</v>
      </c>
    </row>
    <row r="10" customFormat="false" ht="15" hidden="false" customHeight="false" outlineLevel="0" collapsed="false">
      <c r="A10" s="0" t="s">
        <v>43</v>
      </c>
      <c r="B10" s="0" t="s">
        <v>44</v>
      </c>
      <c r="C10" s="0" t="n">
        <v>0.882539450613676</v>
      </c>
      <c r="D10" s="0" t="n">
        <v>0.1</v>
      </c>
      <c r="E10" s="1" t="n">
        <f aca="false">SQRT(U10-2300)/F10</f>
        <v>3.37099931231621</v>
      </c>
      <c r="F10" s="1" t="n">
        <f aca="false">AF10/AG10</f>
        <v>11</v>
      </c>
      <c r="G10" s="2" t="s">
        <v>45</v>
      </c>
      <c r="H10" s="2" t="s">
        <v>45</v>
      </c>
      <c r="I10" s="2" t="s">
        <v>45</v>
      </c>
      <c r="J10" s="2" t="s">
        <v>45</v>
      </c>
      <c r="K10" s="2" t="s">
        <v>45</v>
      </c>
      <c r="L10" s="0" t="n">
        <v>291</v>
      </c>
      <c r="M10" s="2" t="s">
        <v>45</v>
      </c>
      <c r="N10" s="2" t="s">
        <v>46</v>
      </c>
      <c r="O10" s="2" t="s">
        <v>45</v>
      </c>
      <c r="P10" s="2" t="s">
        <v>45</v>
      </c>
      <c r="Q10" s="0" t="n">
        <v>1.385</v>
      </c>
      <c r="R10" s="2" t="s">
        <v>45</v>
      </c>
      <c r="S10" s="2" t="s">
        <v>45</v>
      </c>
      <c r="T10" s="1" t="n">
        <f aca="false">U10-2300</f>
        <v>1375</v>
      </c>
      <c r="U10" s="0" t="n">
        <v>3675</v>
      </c>
      <c r="V10" s="2" t="s">
        <v>45</v>
      </c>
      <c r="W10" s="2" t="s">
        <v>45</v>
      </c>
      <c r="X10" s="2" t="s">
        <v>45</v>
      </c>
      <c r="Y10" s="0" t="n">
        <v>0.132</v>
      </c>
      <c r="Z10" s="2" t="s">
        <v>45</v>
      </c>
      <c r="AA10" s="2" t="s">
        <v>47</v>
      </c>
      <c r="AB10" s="2" t="s">
        <v>45</v>
      </c>
      <c r="AC10" s="0" t="n">
        <v>35</v>
      </c>
      <c r="AD10" s="2" t="s">
        <v>45</v>
      </c>
      <c r="AE10" s="2" t="s">
        <v>45</v>
      </c>
      <c r="AF10" s="0" t="n">
        <v>0.11</v>
      </c>
      <c r="AG10" s="0" t="n">
        <v>0.01</v>
      </c>
      <c r="AH10" s="2" t="s">
        <v>45</v>
      </c>
      <c r="AI10" s="2" t="s">
        <v>45</v>
      </c>
      <c r="AJ10" s="2" t="s">
        <v>45</v>
      </c>
      <c r="AK10" s="2" t="s">
        <v>45</v>
      </c>
      <c r="AL10" s="2" t="s">
        <v>45</v>
      </c>
      <c r="AM10" s="0" t="n">
        <v>434.7</v>
      </c>
      <c r="AN10" s="0" t="n">
        <v>262</v>
      </c>
      <c r="AO10" s="0" t="n">
        <v>1.66</v>
      </c>
      <c r="AP10" s="0" t="n">
        <v>0</v>
      </c>
      <c r="AQ10" s="2" t="n">
        <f aca="false">AF10/(Q10/2)</f>
        <v>0.15884476534296</v>
      </c>
    </row>
    <row r="11" s="1" customFormat="true" ht="15" hidden="false" customHeight="false" outlineLevel="0" collapsed="false">
      <c r="A11" s="1" t="s">
        <v>43</v>
      </c>
      <c r="B11" s="1" t="s">
        <v>44</v>
      </c>
      <c r="C11" s="1" t="n">
        <v>0.233629335562056</v>
      </c>
      <c r="D11" s="1" t="n">
        <v>0.1</v>
      </c>
      <c r="E11" s="1" t="n">
        <v>0</v>
      </c>
      <c r="F11" s="1" t="n">
        <f aca="false">AF11/AG11</f>
        <v>17</v>
      </c>
      <c r="G11" s="1" t="s">
        <v>45</v>
      </c>
      <c r="H11" s="1" t="s">
        <v>45</v>
      </c>
      <c r="I11" s="1" t="s">
        <v>45</v>
      </c>
      <c r="J11" s="1" t="s">
        <v>45</v>
      </c>
      <c r="K11" s="1" t="s">
        <v>45</v>
      </c>
      <c r="L11" s="1" t="n">
        <v>291</v>
      </c>
      <c r="M11" s="1" t="s">
        <v>45</v>
      </c>
      <c r="N11" s="1" t="s">
        <v>46</v>
      </c>
      <c r="O11" s="1" t="s">
        <v>45</v>
      </c>
      <c r="P11" s="1" t="s">
        <v>45</v>
      </c>
      <c r="Q11" s="1" t="n">
        <v>2.18</v>
      </c>
      <c r="R11" s="1" t="s">
        <v>45</v>
      </c>
      <c r="S11" s="1" t="s">
        <v>45</v>
      </c>
      <c r="T11" s="1" t="n">
        <f aca="false">U11-2300</f>
        <v>-1688</v>
      </c>
      <c r="U11" s="1" t="n">
        <v>612</v>
      </c>
      <c r="V11" s="1" t="s">
        <v>45</v>
      </c>
      <c r="W11" s="1" t="s">
        <v>45</v>
      </c>
      <c r="X11" s="1" t="s">
        <v>45</v>
      </c>
      <c r="Y11" s="1" t="n">
        <v>0.147</v>
      </c>
      <c r="Z11" s="1" t="s">
        <v>45</v>
      </c>
      <c r="AA11" s="1" t="s">
        <v>47</v>
      </c>
      <c r="AB11" s="1" t="s">
        <v>45</v>
      </c>
      <c r="AC11" s="1" t="n">
        <v>4.11</v>
      </c>
      <c r="AD11" s="1" t="s">
        <v>45</v>
      </c>
      <c r="AE11" s="1" t="s">
        <v>45</v>
      </c>
      <c r="AF11" s="1" t="n">
        <v>0.17</v>
      </c>
      <c r="AG11" s="1" t="n">
        <v>0.01</v>
      </c>
      <c r="AH11" s="1" t="s">
        <v>45</v>
      </c>
      <c r="AI11" s="1" t="s">
        <v>45</v>
      </c>
      <c r="AJ11" s="1" t="s">
        <v>45</v>
      </c>
      <c r="AK11" s="1" t="s">
        <v>45</v>
      </c>
      <c r="AL11" s="1" t="s">
        <v>45</v>
      </c>
      <c r="AM11" s="1" t="s">
        <v>45</v>
      </c>
      <c r="AN11" s="1" t="n">
        <v>72.2</v>
      </c>
      <c r="AO11" s="1" t="s">
        <v>45</v>
      </c>
      <c r="AP11" s="1" t="n">
        <v>0</v>
      </c>
      <c r="AQ11" s="1" t="n">
        <f aca="false">AF11/(Q11/2)</f>
        <v>0.155963302752294</v>
      </c>
    </row>
    <row r="12" customFormat="false" ht="15" hidden="false" customHeight="false" outlineLevel="0" collapsed="false">
      <c r="A12" s="0" t="s">
        <v>43</v>
      </c>
      <c r="B12" s="0" t="s">
        <v>44</v>
      </c>
      <c r="C12" s="0" t="n">
        <v>0.814764189111085</v>
      </c>
      <c r="D12" s="0" t="n">
        <v>0.1</v>
      </c>
      <c r="E12" s="1" t="n">
        <f aca="false">SQRT(U12-2300)/F12</f>
        <v>3.06785995538948</v>
      </c>
      <c r="F12" s="1" t="n">
        <f aca="false">AF12/AG12</f>
        <v>17</v>
      </c>
      <c r="G12" s="2" t="s">
        <v>45</v>
      </c>
      <c r="H12" s="2" t="s">
        <v>45</v>
      </c>
      <c r="I12" s="2" t="s">
        <v>45</v>
      </c>
      <c r="J12" s="2" t="s">
        <v>45</v>
      </c>
      <c r="K12" s="2" t="s">
        <v>45</v>
      </c>
      <c r="L12" s="0" t="n">
        <v>291</v>
      </c>
      <c r="M12" s="2" t="s">
        <v>45</v>
      </c>
      <c r="N12" s="2" t="s">
        <v>46</v>
      </c>
      <c r="O12" s="2" t="s">
        <v>45</v>
      </c>
      <c r="P12" s="2" t="s">
        <v>45</v>
      </c>
      <c r="Q12" s="0" t="n">
        <v>2.18</v>
      </c>
      <c r="R12" s="2" t="s">
        <v>45</v>
      </c>
      <c r="S12" s="2" t="s">
        <v>45</v>
      </c>
      <c r="T12" s="1" t="n">
        <f aca="false">U12-2300</f>
        <v>2720</v>
      </c>
      <c r="U12" s="0" t="n">
        <v>5020</v>
      </c>
      <c r="V12" s="2" t="s">
        <v>45</v>
      </c>
      <c r="W12" s="2" t="s">
        <v>45</v>
      </c>
      <c r="X12" s="2" t="s">
        <v>45</v>
      </c>
      <c r="Y12" s="0" t="n">
        <v>0.133</v>
      </c>
      <c r="Z12" s="2" t="s">
        <v>45</v>
      </c>
      <c r="AA12" s="2" t="s">
        <v>47</v>
      </c>
      <c r="AB12" s="2" t="s">
        <v>45</v>
      </c>
      <c r="AC12" s="0" t="n">
        <v>30.65</v>
      </c>
      <c r="AD12" s="2" t="s">
        <v>45</v>
      </c>
      <c r="AE12" s="2" t="s">
        <v>45</v>
      </c>
      <c r="AF12" s="0" t="n">
        <v>0.17</v>
      </c>
      <c r="AG12" s="0" t="n">
        <v>0.01</v>
      </c>
      <c r="AH12" s="2" t="s">
        <v>45</v>
      </c>
      <c r="AI12" s="2" t="s">
        <v>45</v>
      </c>
      <c r="AJ12" s="2" t="s">
        <v>45</v>
      </c>
      <c r="AK12" s="2" t="s">
        <v>45</v>
      </c>
      <c r="AL12" s="2" t="s">
        <v>45</v>
      </c>
      <c r="AM12" s="2" t="s">
        <v>45</v>
      </c>
      <c r="AN12" s="0" t="n">
        <v>314.1</v>
      </c>
      <c r="AO12" s="2" t="s">
        <v>45</v>
      </c>
      <c r="AP12" s="0" t="n">
        <v>0</v>
      </c>
      <c r="AQ12" s="2" t="n">
        <f aca="false">AF12/(Q12/2)</f>
        <v>0.155963302752294</v>
      </c>
    </row>
    <row r="13" customFormat="false" ht="15" hidden="false" customHeight="false" outlineLevel="0" collapsed="false">
      <c r="A13" s="0" t="s">
        <v>43</v>
      </c>
      <c r="B13" s="0" t="s">
        <v>44</v>
      </c>
      <c r="C13" s="0" t="n">
        <v>0.809184085922162</v>
      </c>
      <c r="D13" s="0" t="n">
        <v>0.1</v>
      </c>
      <c r="E13" s="1" t="n">
        <f aca="false">SQRT(U13-2300)/F13</f>
        <v>3.0768698424993</v>
      </c>
      <c r="F13" s="1" t="n">
        <f aca="false">AF13/AG13</f>
        <v>17</v>
      </c>
      <c r="G13" s="2" t="s">
        <v>45</v>
      </c>
      <c r="H13" s="2" t="s">
        <v>45</v>
      </c>
      <c r="I13" s="2" t="s">
        <v>45</v>
      </c>
      <c r="J13" s="2" t="s">
        <v>45</v>
      </c>
      <c r="K13" s="2" t="s">
        <v>45</v>
      </c>
      <c r="L13" s="0" t="n">
        <v>291</v>
      </c>
      <c r="M13" s="2" t="s">
        <v>45</v>
      </c>
      <c r="N13" s="2" t="s">
        <v>46</v>
      </c>
      <c r="O13" s="2" t="s">
        <v>45</v>
      </c>
      <c r="P13" s="2" t="s">
        <v>45</v>
      </c>
      <c r="Q13" s="0" t="n">
        <v>2.18</v>
      </c>
      <c r="R13" s="2" t="s">
        <v>45</v>
      </c>
      <c r="S13" s="2" t="s">
        <v>45</v>
      </c>
      <c r="T13" s="1" t="n">
        <f aca="false">U13-2300</f>
        <v>2736</v>
      </c>
      <c r="U13" s="0" t="n">
        <v>5036</v>
      </c>
      <c r="V13" s="2" t="s">
        <v>45</v>
      </c>
      <c r="W13" s="2" t="s">
        <v>45</v>
      </c>
      <c r="X13" s="2" t="s">
        <v>45</v>
      </c>
      <c r="Y13" s="0" t="n">
        <v>0.133</v>
      </c>
      <c r="Z13" s="2" t="s">
        <v>45</v>
      </c>
      <c r="AA13" s="2" t="s">
        <v>47</v>
      </c>
      <c r="AB13" s="2" t="s">
        <v>45</v>
      </c>
      <c r="AC13" s="0" t="n">
        <v>30.77</v>
      </c>
      <c r="AD13" s="2" t="s">
        <v>45</v>
      </c>
      <c r="AE13" s="2" t="s">
        <v>45</v>
      </c>
      <c r="AF13" s="0" t="n">
        <v>0.17</v>
      </c>
      <c r="AG13" s="0" t="n">
        <v>0.01</v>
      </c>
      <c r="AH13" s="2" t="s">
        <v>45</v>
      </c>
      <c r="AI13" s="2" t="s">
        <v>45</v>
      </c>
      <c r="AJ13" s="2" t="s">
        <v>45</v>
      </c>
      <c r="AK13" s="2" t="s">
        <v>45</v>
      </c>
      <c r="AL13" s="2" t="s">
        <v>45</v>
      </c>
      <c r="AM13" s="0" t="n">
        <v>599</v>
      </c>
      <c r="AN13" s="0" t="n">
        <v>277.3</v>
      </c>
      <c r="AO13" s="0" t="n">
        <v>2.16</v>
      </c>
      <c r="AP13" s="0" t="n">
        <v>0</v>
      </c>
      <c r="AQ13" s="2" t="n">
        <f aca="false">AF13/(Q13/2)</f>
        <v>0.155963302752294</v>
      </c>
    </row>
    <row r="14" customFormat="false" ht="15" hidden="false" customHeight="false" outlineLevel="0" collapsed="false">
      <c r="A14" s="0" t="s">
        <v>43</v>
      </c>
      <c r="B14" s="0" t="s">
        <v>44</v>
      </c>
      <c r="C14" s="0" t="n">
        <v>0.898286065861948</v>
      </c>
      <c r="D14" s="0" t="n">
        <v>0.1</v>
      </c>
      <c r="E14" s="1" t="n">
        <f aca="false">SQRT(U14-2300)/F14</f>
        <v>2.88834910522139</v>
      </c>
      <c r="F14" s="1" t="n">
        <f aca="false">AF14/AG14</f>
        <v>17</v>
      </c>
      <c r="G14" s="2" t="s">
        <v>45</v>
      </c>
      <c r="H14" s="2" t="s">
        <v>45</v>
      </c>
      <c r="I14" s="2" t="s">
        <v>45</v>
      </c>
      <c r="J14" s="2" t="s">
        <v>45</v>
      </c>
      <c r="K14" s="2" t="s">
        <v>45</v>
      </c>
      <c r="L14" s="0" t="n">
        <v>291</v>
      </c>
      <c r="M14" s="2" t="s">
        <v>45</v>
      </c>
      <c r="N14" s="2" t="s">
        <v>46</v>
      </c>
      <c r="O14" s="2" t="s">
        <v>45</v>
      </c>
      <c r="P14" s="2" t="s">
        <v>45</v>
      </c>
      <c r="Q14" s="0" t="n">
        <v>2.18</v>
      </c>
      <c r="R14" s="2" t="s">
        <v>45</v>
      </c>
      <c r="S14" s="2" t="s">
        <v>45</v>
      </c>
      <c r="T14" s="1" t="n">
        <f aca="false">U14-2300</f>
        <v>2411</v>
      </c>
      <c r="U14" s="0" t="n">
        <v>4711</v>
      </c>
      <c r="V14" s="2" t="s">
        <v>45</v>
      </c>
      <c r="W14" s="2" t="s">
        <v>45</v>
      </c>
      <c r="X14" s="2" t="s">
        <v>45</v>
      </c>
      <c r="Y14" s="0" t="n">
        <v>0.132</v>
      </c>
      <c r="Z14" s="2" t="s">
        <v>45</v>
      </c>
      <c r="AA14" s="2" t="s">
        <v>47</v>
      </c>
      <c r="AB14" s="2" t="s">
        <v>45</v>
      </c>
      <c r="AC14" s="0" t="n">
        <v>28.48</v>
      </c>
      <c r="AD14" s="2" t="s">
        <v>45</v>
      </c>
      <c r="AE14" s="2" t="s">
        <v>45</v>
      </c>
      <c r="AF14" s="0" t="n">
        <v>0.17</v>
      </c>
      <c r="AG14" s="0" t="n">
        <v>0.01</v>
      </c>
      <c r="AH14" s="2" t="s">
        <v>45</v>
      </c>
      <c r="AI14" s="2" t="s">
        <v>45</v>
      </c>
      <c r="AJ14" s="2" t="s">
        <v>45</v>
      </c>
      <c r="AK14" s="2" t="s">
        <v>45</v>
      </c>
      <c r="AL14" s="2" t="s">
        <v>45</v>
      </c>
      <c r="AM14" s="0" t="n">
        <v>610</v>
      </c>
      <c r="AN14" s="0" t="n">
        <v>271.5</v>
      </c>
      <c r="AO14" s="0" t="n">
        <v>2.24</v>
      </c>
      <c r="AP14" s="0" t="n">
        <v>0</v>
      </c>
      <c r="AQ14" s="2" t="n">
        <f aca="false">AF14/(Q14/2)</f>
        <v>0.155963302752294</v>
      </c>
    </row>
    <row r="15" customFormat="false" ht="15" hidden="false" customHeight="false" outlineLevel="0" collapsed="false">
      <c r="A15" s="0" t="s">
        <v>43</v>
      </c>
      <c r="B15" s="0" t="s">
        <v>44</v>
      </c>
      <c r="C15" s="0" t="n">
        <v>1.73239014647137</v>
      </c>
      <c r="D15" s="0" t="n">
        <v>0.1</v>
      </c>
      <c r="E15" s="1" t="n">
        <f aca="false">SQRT(U15-2300)/F15</f>
        <v>1.8130629420497</v>
      </c>
      <c r="F15" s="1" t="n">
        <f aca="false">AF15/AG15</f>
        <v>17</v>
      </c>
      <c r="G15" s="2" t="s">
        <v>45</v>
      </c>
      <c r="H15" s="2" t="s">
        <v>45</v>
      </c>
      <c r="I15" s="2" t="s">
        <v>45</v>
      </c>
      <c r="J15" s="2" t="s">
        <v>45</v>
      </c>
      <c r="K15" s="2" t="s">
        <v>45</v>
      </c>
      <c r="L15" s="0" t="n">
        <v>291</v>
      </c>
      <c r="M15" s="2" t="s">
        <v>45</v>
      </c>
      <c r="N15" s="2" t="s">
        <v>46</v>
      </c>
      <c r="O15" s="2" t="s">
        <v>45</v>
      </c>
      <c r="P15" s="2" t="s">
        <v>45</v>
      </c>
      <c r="Q15" s="0" t="n">
        <v>2.18</v>
      </c>
      <c r="R15" s="2" t="s">
        <v>45</v>
      </c>
      <c r="S15" s="2" t="s">
        <v>45</v>
      </c>
      <c r="T15" s="1" t="n">
        <f aca="false">U15-2300</f>
        <v>950</v>
      </c>
      <c r="U15" s="0" t="n">
        <v>3250</v>
      </c>
      <c r="V15" s="2" t="s">
        <v>45</v>
      </c>
      <c r="W15" s="2" t="s">
        <v>45</v>
      </c>
      <c r="X15" s="2" t="s">
        <v>45</v>
      </c>
      <c r="Y15" s="0" t="n">
        <v>0.118</v>
      </c>
      <c r="Z15" s="2" t="s">
        <v>45</v>
      </c>
      <c r="AA15" s="2" t="s">
        <v>47</v>
      </c>
      <c r="AB15" s="2" t="s">
        <v>45</v>
      </c>
      <c r="AC15" s="0" t="n">
        <v>17.6</v>
      </c>
      <c r="AD15" s="2" t="s">
        <v>45</v>
      </c>
      <c r="AE15" s="2" t="s">
        <v>45</v>
      </c>
      <c r="AF15" s="0" t="n">
        <v>0.17</v>
      </c>
      <c r="AG15" s="0" t="n">
        <v>0.01</v>
      </c>
      <c r="AH15" s="2" t="s">
        <v>45</v>
      </c>
      <c r="AI15" s="2" t="s">
        <v>45</v>
      </c>
      <c r="AJ15" s="2" t="s">
        <v>45</v>
      </c>
      <c r="AK15" s="2" t="s">
        <v>45</v>
      </c>
      <c r="AL15" s="2" t="s">
        <v>45</v>
      </c>
      <c r="AM15" s="0" t="n">
        <v>296</v>
      </c>
      <c r="AN15" s="0" t="n">
        <v>153.6</v>
      </c>
      <c r="AO15" s="0" t="n">
        <v>1.93</v>
      </c>
      <c r="AP15" s="0" t="n">
        <v>0</v>
      </c>
      <c r="AQ15" s="2" t="n">
        <f aca="false">AF15/(Q15/2)</f>
        <v>0.155963302752294</v>
      </c>
    </row>
    <row r="16" customFormat="false" ht="15" hidden="false" customHeight="false" outlineLevel="0" collapsed="false">
      <c r="A16" s="0" t="s">
        <v>43</v>
      </c>
      <c r="B16" s="0" t="s">
        <v>44</v>
      </c>
      <c r="C16" s="0" t="n">
        <v>2.25531496062992</v>
      </c>
      <c r="D16" s="0" t="n">
        <v>0.1</v>
      </c>
      <c r="E16" s="1" t="n">
        <f aca="false">SQRT(U16-2300)/F16</f>
        <v>1.63757775377354</v>
      </c>
      <c r="F16" s="1" t="n">
        <f aca="false">AF16/AG16</f>
        <v>17</v>
      </c>
      <c r="G16" s="2" t="s">
        <v>45</v>
      </c>
      <c r="H16" s="2" t="s">
        <v>45</v>
      </c>
      <c r="I16" s="2" t="s">
        <v>45</v>
      </c>
      <c r="J16" s="2" t="s">
        <v>45</v>
      </c>
      <c r="K16" s="2" t="s">
        <v>45</v>
      </c>
      <c r="L16" s="0" t="n">
        <v>291</v>
      </c>
      <c r="M16" s="2" t="s">
        <v>45</v>
      </c>
      <c r="N16" s="2" t="s">
        <v>46</v>
      </c>
      <c r="O16" s="2" t="s">
        <v>45</v>
      </c>
      <c r="P16" s="2" t="s">
        <v>45</v>
      </c>
      <c r="Q16" s="0" t="n">
        <v>2.18</v>
      </c>
      <c r="R16" s="2" t="s">
        <v>45</v>
      </c>
      <c r="S16" s="2" t="s">
        <v>45</v>
      </c>
      <c r="T16" s="1" t="n">
        <f aca="false">U16-2300</f>
        <v>775</v>
      </c>
      <c r="U16" s="0" t="n">
        <v>3075</v>
      </c>
      <c r="V16" s="2" t="s">
        <v>45</v>
      </c>
      <c r="W16" s="2" t="s">
        <v>45</v>
      </c>
      <c r="X16" s="2" t="s">
        <v>45</v>
      </c>
      <c r="Y16" s="0" t="n">
        <v>0.112</v>
      </c>
      <c r="Z16" s="2" t="s">
        <v>45</v>
      </c>
      <c r="AA16" s="2" t="s">
        <v>47</v>
      </c>
      <c r="AB16" s="2" t="s">
        <v>45</v>
      </c>
      <c r="AC16" s="0" t="n">
        <v>15.8</v>
      </c>
      <c r="AD16" s="2" t="s">
        <v>45</v>
      </c>
      <c r="AE16" s="2" t="s">
        <v>45</v>
      </c>
      <c r="AF16" s="0" t="n">
        <v>0.17</v>
      </c>
      <c r="AG16" s="0" t="n">
        <v>0.01</v>
      </c>
      <c r="AH16" s="2" t="s">
        <v>45</v>
      </c>
      <c r="AI16" s="2" t="s">
        <v>45</v>
      </c>
      <c r="AJ16" s="2" t="s">
        <v>45</v>
      </c>
      <c r="AK16" s="2" t="s">
        <v>45</v>
      </c>
      <c r="AL16" s="2" t="s">
        <v>45</v>
      </c>
      <c r="AM16" s="0" t="n">
        <v>126.6</v>
      </c>
      <c r="AN16" s="0" t="n">
        <v>54.7</v>
      </c>
      <c r="AO16" s="0" t="n">
        <v>2.31</v>
      </c>
      <c r="AP16" s="0" t="n">
        <v>0</v>
      </c>
      <c r="AQ16" s="2" t="n">
        <f aca="false">AF16/(Q16/2)</f>
        <v>0.155963302752294</v>
      </c>
    </row>
    <row r="17" s="1" customFormat="true" ht="15" hidden="false" customHeight="false" outlineLevel="0" collapsed="false">
      <c r="A17" s="1" t="s">
        <v>43</v>
      </c>
      <c r="B17" s="1" t="s">
        <v>44</v>
      </c>
      <c r="C17" s="1" t="n">
        <v>2.18214488233626</v>
      </c>
      <c r="D17" s="1" t="n">
        <v>0.1</v>
      </c>
      <c r="E17" s="1" t="n">
        <v>0</v>
      </c>
      <c r="F17" s="1" t="n">
        <f aca="false">AF17/AG17</f>
        <v>17</v>
      </c>
      <c r="G17" s="1" t="s">
        <v>45</v>
      </c>
      <c r="H17" s="1" t="s">
        <v>45</v>
      </c>
      <c r="I17" s="1" t="s">
        <v>45</v>
      </c>
      <c r="J17" s="1" t="s">
        <v>45</v>
      </c>
      <c r="K17" s="1" t="s">
        <v>45</v>
      </c>
      <c r="L17" s="1" t="n">
        <v>291</v>
      </c>
      <c r="M17" s="1" t="s">
        <v>45</v>
      </c>
      <c r="N17" s="1" t="s">
        <v>46</v>
      </c>
      <c r="O17" s="1" t="s">
        <v>45</v>
      </c>
      <c r="P17" s="1" t="s">
        <v>45</v>
      </c>
      <c r="Q17" s="1" t="n">
        <v>2.18</v>
      </c>
      <c r="R17" s="1" t="s">
        <v>45</v>
      </c>
      <c r="S17" s="1" t="s">
        <v>45</v>
      </c>
      <c r="T17" s="1" t="n">
        <f aca="false">U17-2300</f>
        <v>-1184</v>
      </c>
      <c r="U17" s="1" t="n">
        <v>1116</v>
      </c>
      <c r="V17" s="1" t="s">
        <v>45</v>
      </c>
      <c r="W17" s="1" t="s">
        <v>45</v>
      </c>
      <c r="X17" s="1" t="s">
        <v>45</v>
      </c>
      <c r="Y17" s="1" t="n">
        <v>0.113</v>
      </c>
      <c r="Z17" s="1" t="s">
        <v>45</v>
      </c>
      <c r="AA17" s="1" t="s">
        <v>47</v>
      </c>
      <c r="AB17" s="1" t="s">
        <v>45</v>
      </c>
      <c r="AC17" s="1" t="n">
        <v>5.76</v>
      </c>
      <c r="AD17" s="1" t="s">
        <v>45</v>
      </c>
      <c r="AE17" s="1" t="s">
        <v>45</v>
      </c>
      <c r="AF17" s="1" t="n">
        <v>0.17</v>
      </c>
      <c r="AG17" s="1" t="n">
        <v>0.01</v>
      </c>
      <c r="AH17" s="1" t="s">
        <v>45</v>
      </c>
      <c r="AI17" s="1" t="s">
        <v>45</v>
      </c>
      <c r="AJ17" s="1" t="s">
        <v>45</v>
      </c>
      <c r="AK17" s="1" t="s">
        <v>45</v>
      </c>
      <c r="AL17" s="1" t="s">
        <v>45</v>
      </c>
      <c r="AM17" s="1" t="n">
        <v>96</v>
      </c>
      <c r="AN17" s="1" t="n">
        <v>76.2</v>
      </c>
      <c r="AO17" s="1" t="n">
        <v>1.26</v>
      </c>
      <c r="AP17" s="1" t="n">
        <v>0</v>
      </c>
      <c r="AQ17" s="1" t="n">
        <f aca="false">AF17/(Q17/2)</f>
        <v>0.155963302752294</v>
      </c>
    </row>
    <row r="18" s="1" customFormat="true" ht="15" hidden="false" customHeight="false" outlineLevel="0" collapsed="false">
      <c r="A18" s="1" t="s">
        <v>43</v>
      </c>
      <c r="B18" s="1" t="s">
        <v>44</v>
      </c>
      <c r="C18" s="1" t="n">
        <v>1.98886165953334</v>
      </c>
      <c r="D18" s="1" t="n">
        <v>0.1</v>
      </c>
      <c r="E18" s="1" t="n">
        <v>0</v>
      </c>
      <c r="F18" s="1" t="n">
        <f aca="false">AF18/AG18</f>
        <v>17</v>
      </c>
      <c r="G18" s="1" t="s">
        <v>45</v>
      </c>
      <c r="H18" s="1" t="s">
        <v>45</v>
      </c>
      <c r="I18" s="1" t="s">
        <v>45</v>
      </c>
      <c r="J18" s="1" t="s">
        <v>45</v>
      </c>
      <c r="K18" s="1" t="s">
        <v>45</v>
      </c>
      <c r="L18" s="1" t="n">
        <v>291</v>
      </c>
      <c r="M18" s="1" t="s">
        <v>45</v>
      </c>
      <c r="N18" s="1" t="s">
        <v>46</v>
      </c>
      <c r="O18" s="1" t="s">
        <v>45</v>
      </c>
      <c r="P18" s="1" t="s">
        <v>45</v>
      </c>
      <c r="Q18" s="1" t="n">
        <v>2.18</v>
      </c>
      <c r="R18" s="1" t="s">
        <v>45</v>
      </c>
      <c r="S18" s="1" t="s">
        <v>45</v>
      </c>
      <c r="T18" s="1" t="n">
        <f aca="false">U18-2300</f>
        <v>-1091</v>
      </c>
      <c r="U18" s="1" t="n">
        <v>1209</v>
      </c>
      <c r="V18" s="1" t="s">
        <v>45</v>
      </c>
      <c r="W18" s="1" t="s">
        <v>45</v>
      </c>
      <c r="X18" s="1" t="s">
        <v>45</v>
      </c>
      <c r="Y18" s="1" t="n">
        <v>0.115</v>
      </c>
      <c r="Z18" s="1" t="s">
        <v>45</v>
      </c>
      <c r="AA18" s="1" t="s">
        <v>47</v>
      </c>
      <c r="AB18" s="1" t="s">
        <v>45</v>
      </c>
      <c r="AC18" s="1" t="n">
        <v>6.38</v>
      </c>
      <c r="AD18" s="1" t="s">
        <v>45</v>
      </c>
      <c r="AE18" s="1" t="s">
        <v>45</v>
      </c>
      <c r="AF18" s="1" t="n">
        <v>0.17</v>
      </c>
      <c r="AG18" s="1" t="n">
        <v>0.01</v>
      </c>
      <c r="AH18" s="1" t="s">
        <v>45</v>
      </c>
      <c r="AI18" s="1" t="s">
        <v>45</v>
      </c>
      <c r="AJ18" s="1" t="s">
        <v>45</v>
      </c>
      <c r="AK18" s="1" t="s">
        <v>45</v>
      </c>
      <c r="AL18" s="1" t="s">
        <v>45</v>
      </c>
      <c r="AM18" s="1" t="n">
        <v>128</v>
      </c>
      <c r="AN18" s="1" t="n">
        <v>100.8</v>
      </c>
      <c r="AO18" s="1" t="n">
        <v>1.27</v>
      </c>
      <c r="AP18" s="1" t="n">
        <v>0</v>
      </c>
      <c r="AQ18" s="1" t="n">
        <f aca="false">AF18/(Q18/2)</f>
        <v>0.155963302752294</v>
      </c>
    </row>
    <row r="19" s="1" customFormat="true" ht="15" hidden="false" customHeight="false" outlineLevel="0" collapsed="false">
      <c r="A19" s="1" t="s">
        <v>43</v>
      </c>
      <c r="B19" s="1" t="s">
        <v>44</v>
      </c>
      <c r="C19" s="1" t="n">
        <v>1.83676510339235</v>
      </c>
      <c r="D19" s="1" t="n">
        <v>0.1</v>
      </c>
      <c r="E19" s="1" t="n">
        <v>0</v>
      </c>
      <c r="F19" s="1" t="n">
        <f aca="false">AF19/AG19</f>
        <v>17</v>
      </c>
      <c r="G19" s="1" t="s">
        <v>45</v>
      </c>
      <c r="H19" s="1" t="s">
        <v>45</v>
      </c>
      <c r="I19" s="1" t="s">
        <v>45</v>
      </c>
      <c r="J19" s="1" t="s">
        <v>45</v>
      </c>
      <c r="K19" s="1" t="s">
        <v>45</v>
      </c>
      <c r="L19" s="1" t="n">
        <v>291</v>
      </c>
      <c r="M19" s="1" t="s">
        <v>45</v>
      </c>
      <c r="N19" s="1" t="s">
        <v>46</v>
      </c>
      <c r="O19" s="1" t="s">
        <v>45</v>
      </c>
      <c r="P19" s="1" t="s">
        <v>45</v>
      </c>
      <c r="Q19" s="1" t="n">
        <v>2.18</v>
      </c>
      <c r="R19" s="1" t="s">
        <v>45</v>
      </c>
      <c r="S19" s="1" t="s">
        <v>45</v>
      </c>
      <c r="T19" s="1" t="n">
        <f aca="false">U19-2300</f>
        <v>-1375</v>
      </c>
      <c r="U19" s="1" t="n">
        <v>925</v>
      </c>
      <c r="V19" s="1" t="s">
        <v>45</v>
      </c>
      <c r="W19" s="1" t="s">
        <v>45</v>
      </c>
      <c r="X19" s="1" t="s">
        <v>45</v>
      </c>
      <c r="Y19" s="1" t="n">
        <v>0.117</v>
      </c>
      <c r="Z19" s="1" t="s">
        <v>45</v>
      </c>
      <c r="AA19" s="1" t="s">
        <v>47</v>
      </c>
      <c r="AB19" s="1" t="s">
        <v>45</v>
      </c>
      <c r="AC19" s="1" t="n">
        <v>4.97</v>
      </c>
      <c r="AD19" s="1" t="s">
        <v>45</v>
      </c>
      <c r="AE19" s="1" t="s">
        <v>45</v>
      </c>
      <c r="AF19" s="1" t="n">
        <v>0.17</v>
      </c>
      <c r="AG19" s="1" t="n">
        <v>0.01</v>
      </c>
      <c r="AH19" s="1" t="s">
        <v>45</v>
      </c>
      <c r="AI19" s="1" t="s">
        <v>45</v>
      </c>
      <c r="AJ19" s="1" t="s">
        <v>45</v>
      </c>
      <c r="AK19" s="1" t="s">
        <v>45</v>
      </c>
      <c r="AL19" s="1" t="s">
        <v>45</v>
      </c>
      <c r="AM19" s="1" t="n">
        <v>167.5</v>
      </c>
      <c r="AN19" s="1" t="n">
        <v>145.2</v>
      </c>
      <c r="AO19" s="1" t="n">
        <v>1.15</v>
      </c>
      <c r="AP19" s="1" t="n">
        <v>0</v>
      </c>
      <c r="AQ19" s="1" t="n">
        <f aca="false">AF19/(Q19/2)</f>
        <v>0.155963302752294</v>
      </c>
    </row>
    <row r="20" customFormat="false" ht="15" hidden="false" customHeight="false" outlineLevel="0" collapsed="false">
      <c r="A20" s="0" t="s">
        <v>43</v>
      </c>
      <c r="B20" s="0" t="s">
        <v>44</v>
      </c>
      <c r="C20" s="0" t="n">
        <v>1.92763518138262</v>
      </c>
      <c r="D20" s="0" t="n">
        <v>0.1</v>
      </c>
      <c r="E20" s="1" t="n">
        <f aca="false">SQRT(U20-2300)/F20</f>
        <v>4.89110442480337</v>
      </c>
      <c r="F20" s="1" t="n">
        <f aca="false">AF20/AG20</f>
        <v>21</v>
      </c>
      <c r="G20" s="2" t="s">
        <v>45</v>
      </c>
      <c r="H20" s="2" t="s">
        <v>45</v>
      </c>
      <c r="I20" s="2" t="s">
        <v>45</v>
      </c>
      <c r="J20" s="2" t="s">
        <v>45</v>
      </c>
      <c r="K20" s="2" t="s">
        <v>45</v>
      </c>
      <c r="L20" s="0" t="n">
        <v>291</v>
      </c>
      <c r="M20" s="2" t="s">
        <v>45</v>
      </c>
      <c r="N20" s="2" t="s">
        <v>46</v>
      </c>
      <c r="O20" s="2" t="s">
        <v>45</v>
      </c>
      <c r="P20" s="2" t="s">
        <v>45</v>
      </c>
      <c r="Q20" s="0" t="n">
        <v>2.72</v>
      </c>
      <c r="R20" s="2" t="s">
        <v>45</v>
      </c>
      <c r="S20" s="2" t="s">
        <v>45</v>
      </c>
      <c r="T20" s="1" t="n">
        <f aca="false">U20-2300</f>
        <v>10550</v>
      </c>
      <c r="U20" s="0" t="n">
        <v>12850</v>
      </c>
      <c r="V20" s="2" t="s">
        <v>45</v>
      </c>
      <c r="W20" s="2" t="s">
        <v>45</v>
      </c>
      <c r="X20" s="2" t="s">
        <v>45</v>
      </c>
      <c r="Y20" s="0" t="n">
        <v>0.116</v>
      </c>
      <c r="Z20" s="2" t="s">
        <v>45</v>
      </c>
      <c r="AA20" s="2" t="s">
        <v>47</v>
      </c>
      <c r="AB20" s="2" t="s">
        <v>45</v>
      </c>
      <c r="AC20" s="0" t="n">
        <v>54.7</v>
      </c>
      <c r="AD20" s="2" t="s">
        <v>45</v>
      </c>
      <c r="AE20" s="2" t="s">
        <v>45</v>
      </c>
      <c r="AF20" s="0" t="n">
        <v>0.21</v>
      </c>
      <c r="AG20" s="0" t="n">
        <v>0.01</v>
      </c>
      <c r="AH20" s="2" t="s">
        <v>45</v>
      </c>
      <c r="AI20" s="2" t="s">
        <v>45</v>
      </c>
      <c r="AJ20" s="2" t="s">
        <v>45</v>
      </c>
      <c r="AK20" s="2" t="s">
        <v>45</v>
      </c>
      <c r="AL20" s="2" t="s">
        <v>45</v>
      </c>
      <c r="AM20" s="0" t="n">
        <v>385</v>
      </c>
      <c r="AN20" s="0" t="n">
        <v>127</v>
      </c>
      <c r="AO20" s="0" t="n">
        <v>3.03</v>
      </c>
      <c r="AP20" s="0" t="n">
        <v>0</v>
      </c>
      <c r="AQ20" s="2" t="n">
        <f aca="false">AF20/(Q20/2)</f>
        <v>0.154411764705882</v>
      </c>
    </row>
    <row r="21" customFormat="false" ht="15" hidden="false" customHeight="false" outlineLevel="0" collapsed="false">
      <c r="A21" s="0" t="s">
        <v>43</v>
      </c>
      <c r="B21" s="0" t="s">
        <v>44</v>
      </c>
      <c r="C21" s="0" t="n">
        <v>1.3747221169635</v>
      </c>
      <c r="D21" s="0" t="n">
        <v>0.1</v>
      </c>
      <c r="E21" s="1" t="n">
        <f aca="false">SQRT(U21-2300)/F21</f>
        <v>5.53078377456557</v>
      </c>
      <c r="F21" s="1" t="n">
        <f aca="false">AF21/AG21</f>
        <v>21</v>
      </c>
      <c r="G21" s="2" t="s">
        <v>45</v>
      </c>
      <c r="H21" s="2" t="s">
        <v>45</v>
      </c>
      <c r="I21" s="2" t="s">
        <v>45</v>
      </c>
      <c r="J21" s="2" t="s">
        <v>45</v>
      </c>
      <c r="K21" s="2" t="s">
        <v>45</v>
      </c>
      <c r="L21" s="0" t="n">
        <v>291</v>
      </c>
      <c r="M21" s="2" t="s">
        <v>45</v>
      </c>
      <c r="N21" s="2" t="s">
        <v>46</v>
      </c>
      <c r="O21" s="2" t="s">
        <v>45</v>
      </c>
      <c r="P21" s="2" t="s">
        <v>45</v>
      </c>
      <c r="Q21" s="0" t="n">
        <v>2.72</v>
      </c>
      <c r="R21" s="2" t="s">
        <v>45</v>
      </c>
      <c r="S21" s="2" t="s">
        <v>45</v>
      </c>
      <c r="T21" s="1" t="n">
        <f aca="false">U21-2300</f>
        <v>13490</v>
      </c>
      <c r="U21" s="0" t="n">
        <v>15790</v>
      </c>
      <c r="V21" s="2" t="s">
        <v>45</v>
      </c>
      <c r="W21" s="2" t="s">
        <v>45</v>
      </c>
      <c r="X21" s="2" t="s">
        <v>45</v>
      </c>
      <c r="Y21" s="0" t="n">
        <v>0.123</v>
      </c>
      <c r="Z21" s="2" t="s">
        <v>45</v>
      </c>
      <c r="AA21" s="2" t="s">
        <v>47</v>
      </c>
      <c r="AB21" s="2" t="s">
        <v>45</v>
      </c>
      <c r="AC21" s="0" t="n">
        <v>71.5</v>
      </c>
      <c r="AD21" s="2" t="s">
        <v>45</v>
      </c>
      <c r="AE21" s="2" t="s">
        <v>45</v>
      </c>
      <c r="AF21" s="0" t="n">
        <v>0.21</v>
      </c>
      <c r="AG21" s="0" t="n">
        <v>0.01</v>
      </c>
      <c r="AH21" s="2" t="s">
        <v>45</v>
      </c>
      <c r="AI21" s="2" t="s">
        <v>45</v>
      </c>
      <c r="AJ21" s="2" t="s">
        <v>45</v>
      </c>
      <c r="AK21" s="2" t="s">
        <v>45</v>
      </c>
      <c r="AL21" s="2" t="s">
        <v>45</v>
      </c>
      <c r="AM21" s="0" t="n">
        <v>725.9</v>
      </c>
      <c r="AN21" s="0" t="n">
        <v>237</v>
      </c>
      <c r="AO21" s="0" t="n">
        <v>3.06</v>
      </c>
      <c r="AP21" s="0" t="n">
        <v>0</v>
      </c>
      <c r="AQ21" s="2" t="n">
        <f aca="false">AF21/(Q21/2)</f>
        <v>0.154411764705882</v>
      </c>
    </row>
    <row r="22" customFormat="false" ht="15" hidden="false" customHeight="false" outlineLevel="0" collapsed="false">
      <c r="A22" s="0" t="s">
        <v>43</v>
      </c>
      <c r="B22" s="0" t="s">
        <v>44</v>
      </c>
      <c r="C22" s="0" t="n">
        <v>1.27133221434788</v>
      </c>
      <c r="D22" s="0" t="n">
        <v>0.1</v>
      </c>
      <c r="E22" s="1" t="n">
        <f aca="false">SQRT(U22-2300)/F22</f>
        <v>5.71428571428571</v>
      </c>
      <c r="F22" s="1" t="n">
        <f aca="false">AF22/AG22</f>
        <v>21</v>
      </c>
      <c r="G22" s="2" t="s">
        <v>45</v>
      </c>
      <c r="H22" s="2" t="s">
        <v>45</v>
      </c>
      <c r="I22" s="2" t="s">
        <v>45</v>
      </c>
      <c r="J22" s="2" t="s">
        <v>45</v>
      </c>
      <c r="K22" s="2" t="s">
        <v>45</v>
      </c>
      <c r="L22" s="0" t="n">
        <v>291</v>
      </c>
      <c r="M22" s="2" t="s">
        <v>45</v>
      </c>
      <c r="N22" s="2" t="s">
        <v>46</v>
      </c>
      <c r="O22" s="2" t="s">
        <v>45</v>
      </c>
      <c r="P22" s="2" t="s">
        <v>45</v>
      </c>
      <c r="Q22" s="0" t="n">
        <v>2.72</v>
      </c>
      <c r="R22" s="2" t="s">
        <v>45</v>
      </c>
      <c r="S22" s="2" t="s">
        <v>45</v>
      </c>
      <c r="T22" s="1" t="n">
        <f aca="false">U22-2300</f>
        <v>14400</v>
      </c>
      <c r="U22" s="0" t="n">
        <v>16700</v>
      </c>
      <c r="V22" s="2" t="s">
        <v>45</v>
      </c>
      <c r="W22" s="2" t="s">
        <v>45</v>
      </c>
      <c r="X22" s="2" t="s">
        <v>45</v>
      </c>
      <c r="Y22" s="0" t="n">
        <v>0.125</v>
      </c>
      <c r="Z22" s="2" t="s">
        <v>45</v>
      </c>
      <c r="AA22" s="2" t="s">
        <v>47</v>
      </c>
      <c r="AB22" s="2" t="s">
        <v>45</v>
      </c>
      <c r="AC22" s="0" t="n">
        <v>76.9</v>
      </c>
      <c r="AD22" s="2" t="s">
        <v>45</v>
      </c>
      <c r="AE22" s="2" t="s">
        <v>45</v>
      </c>
      <c r="AF22" s="0" t="n">
        <v>0.21</v>
      </c>
      <c r="AG22" s="0" t="n">
        <v>0.01</v>
      </c>
      <c r="AH22" s="2" t="s">
        <v>45</v>
      </c>
      <c r="AI22" s="2" t="s">
        <v>45</v>
      </c>
      <c r="AJ22" s="2" t="s">
        <v>45</v>
      </c>
      <c r="AK22" s="2" t="s">
        <v>45</v>
      </c>
      <c r="AL22" s="2" t="s">
        <v>45</v>
      </c>
      <c r="AM22" s="0" t="n">
        <v>1011</v>
      </c>
      <c r="AN22" s="0" t="n">
        <v>283</v>
      </c>
      <c r="AO22" s="0" t="n">
        <v>3.58</v>
      </c>
      <c r="AP22" s="0" t="n">
        <v>0</v>
      </c>
      <c r="AQ22" s="2" t="n">
        <f aca="false">AF22/(Q22/2)</f>
        <v>0.154411764705882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0" t="n">
        <v>1.24638964577657</v>
      </c>
      <c r="D23" s="0" t="n">
        <v>0.1</v>
      </c>
      <c r="E23" s="1" t="n">
        <f aca="false">SQRT(U23-2300)/F23</f>
        <v>5.83211843519804</v>
      </c>
      <c r="F23" s="1" t="n">
        <f aca="false">AF23/AG23</f>
        <v>21</v>
      </c>
      <c r="G23" s="2" t="s">
        <v>45</v>
      </c>
      <c r="H23" s="2" t="s">
        <v>45</v>
      </c>
      <c r="I23" s="2" t="s">
        <v>45</v>
      </c>
      <c r="J23" s="2" t="s">
        <v>45</v>
      </c>
      <c r="K23" s="2" t="s">
        <v>45</v>
      </c>
      <c r="L23" s="0" t="n">
        <v>291</v>
      </c>
      <c r="M23" s="2" t="s">
        <v>45</v>
      </c>
      <c r="N23" s="2" t="s">
        <v>46</v>
      </c>
      <c r="O23" s="2" t="s">
        <v>45</v>
      </c>
      <c r="P23" s="2" t="s">
        <v>45</v>
      </c>
      <c r="Q23" s="0" t="n">
        <v>2.72</v>
      </c>
      <c r="R23" s="2" t="s">
        <v>45</v>
      </c>
      <c r="S23" s="2" t="s">
        <v>45</v>
      </c>
      <c r="T23" s="1" t="n">
        <f aca="false">U23-2300</f>
        <v>15000</v>
      </c>
      <c r="U23" s="0" t="n">
        <v>17300</v>
      </c>
      <c r="V23" s="2" t="s">
        <v>45</v>
      </c>
      <c r="W23" s="2" t="s">
        <v>45</v>
      </c>
      <c r="X23" s="2" t="s">
        <v>45</v>
      </c>
      <c r="Y23" s="0" t="n">
        <v>0.126</v>
      </c>
      <c r="Z23" s="2" t="s">
        <v>45</v>
      </c>
      <c r="AA23" s="2" t="s">
        <v>47</v>
      </c>
      <c r="AB23" s="2" t="s">
        <v>45</v>
      </c>
      <c r="AC23" s="0" t="n">
        <v>79.9</v>
      </c>
      <c r="AD23" s="2" t="s">
        <v>45</v>
      </c>
      <c r="AE23" s="2" t="s">
        <v>45</v>
      </c>
      <c r="AF23" s="0" t="n">
        <v>0.21</v>
      </c>
      <c r="AG23" s="0" t="n">
        <v>0.01</v>
      </c>
      <c r="AH23" s="2" t="s">
        <v>45</v>
      </c>
      <c r="AI23" s="2" t="s">
        <v>45</v>
      </c>
      <c r="AJ23" s="2" t="s">
        <v>45</v>
      </c>
      <c r="AK23" s="2" t="s">
        <v>45</v>
      </c>
      <c r="AL23" s="2" t="s">
        <v>45</v>
      </c>
      <c r="AM23" s="0" t="n">
        <v>1046</v>
      </c>
      <c r="AN23" s="0" t="n">
        <v>290.1</v>
      </c>
      <c r="AO23" s="0" t="n">
        <v>3.61</v>
      </c>
      <c r="AP23" s="0" t="n">
        <v>0</v>
      </c>
      <c r="AQ23" s="2" t="n">
        <f aca="false">AF23/(Q23/2)</f>
        <v>0.154411764705882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20</v>
      </c>
      <c r="B1" s="0" t="s">
        <v>48</v>
      </c>
      <c r="C1" s="0" t="s">
        <v>40</v>
      </c>
    </row>
    <row r="2" customFormat="false" ht="15" hidden="false" customHeight="false" outlineLevel="0" collapsed="false">
      <c r="A2" s="0" t="n">
        <v>3969.898195164</v>
      </c>
      <c r="B2" s="0" t="n">
        <v>2.867307766896</v>
      </c>
      <c r="C2" s="0" t="s">
        <v>45</v>
      </c>
    </row>
    <row r="3" customFormat="false" ht="15" hidden="false" customHeight="false" outlineLevel="0" collapsed="false">
      <c r="A3" s="0" t="n">
        <v>6020.754668352</v>
      </c>
      <c r="B3" s="0" t="n">
        <v>3.332391611839</v>
      </c>
      <c r="C3" s="0" t="s">
        <v>45</v>
      </c>
    </row>
    <row r="4" customFormat="false" ht="15" hidden="false" customHeight="false" outlineLevel="0" collapsed="false">
      <c r="A4" s="0" t="n">
        <v>16685.65381154</v>
      </c>
      <c r="B4" s="0" t="n">
        <v>5.095561779463</v>
      </c>
      <c r="C4" s="0" t="s">
        <v>45</v>
      </c>
    </row>
    <row r="5" customFormat="false" ht="15" hidden="false" customHeight="false" outlineLevel="0" collapsed="false">
      <c r="A5" s="0" t="n">
        <v>23390.9853269</v>
      </c>
      <c r="B5" s="0" t="n">
        <v>5.949961059706</v>
      </c>
      <c r="C5" s="0" t="s">
        <v>45</v>
      </c>
    </row>
    <row r="6" customFormat="false" ht="15" hidden="false" customHeight="false" outlineLevel="0" collapsed="false">
      <c r="A6" s="0" t="n">
        <v>2753.431474842</v>
      </c>
      <c r="B6" s="0" t="s">
        <v>45</v>
      </c>
      <c r="C6" s="0" t="n">
        <v>1.40328579134</v>
      </c>
    </row>
    <row r="7" customFormat="false" ht="15" hidden="false" customHeight="false" outlineLevel="0" collapsed="false">
      <c r="A7" s="0" t="n">
        <v>3164.296793765</v>
      </c>
      <c r="B7" s="0" t="s">
        <v>45</v>
      </c>
      <c r="C7" s="0" t="n">
        <v>1.927151039918</v>
      </c>
    </row>
    <row r="8" customFormat="false" ht="15" hidden="false" customHeight="false" outlineLevel="0" collapsed="false">
      <c r="A8" s="0" t="n">
        <v>3679.314476544</v>
      </c>
      <c r="B8" s="0" t="s">
        <v>45</v>
      </c>
      <c r="C8" s="0" t="n">
        <v>1.654699465668</v>
      </c>
    </row>
    <row r="9" customFormat="false" ht="15" hidden="false" customHeight="false" outlineLevel="0" collapsed="false">
      <c r="A9" s="0" t="n">
        <v>4663.675978979</v>
      </c>
      <c r="B9" s="0" t="s">
        <v>45</v>
      </c>
      <c r="C9" s="0" t="n">
        <v>2.253561596393</v>
      </c>
    </row>
    <row r="10" customFormat="false" ht="15" hidden="false" customHeight="false" outlineLevel="0" collapsed="false">
      <c r="A10" s="0" t="n">
        <v>5033.893554215</v>
      </c>
      <c r="B10" s="0" t="s">
        <v>45</v>
      </c>
      <c r="C10" s="0" t="n">
        <v>2.151926281239</v>
      </c>
    </row>
    <row r="11" customFormat="false" ht="15" hidden="false" customHeight="false" outlineLevel="0" collapsed="false">
      <c r="A11" s="0" t="n">
        <v>12784.36917275</v>
      </c>
      <c r="B11" s="0" t="s">
        <v>45</v>
      </c>
      <c r="C11" s="0" t="n">
        <v>3.000083935959</v>
      </c>
    </row>
    <row r="12" customFormat="false" ht="15" hidden="false" customHeight="false" outlineLevel="0" collapsed="false">
      <c r="A12" s="0" t="n">
        <v>15792.02297678</v>
      </c>
      <c r="B12" s="0" t="s">
        <v>45</v>
      </c>
      <c r="C12" s="0" t="n">
        <v>3.021014133322</v>
      </c>
    </row>
    <row r="13" customFormat="false" ht="15" hidden="false" customHeight="false" outlineLevel="0" collapsed="false">
      <c r="A13" s="0" t="n">
        <v>16708.71397013</v>
      </c>
      <c r="B13" s="0" t="s">
        <v>45</v>
      </c>
      <c r="C13" s="0" t="n">
        <v>3.565908428087</v>
      </c>
    </row>
    <row r="14" customFormat="false" ht="15" hidden="false" customHeight="false" outlineLevel="0" collapsed="false">
      <c r="A14" s="0" t="n">
        <v>17318.62134421</v>
      </c>
      <c r="B14" s="0" t="s">
        <v>45</v>
      </c>
      <c r="C14" s="0" t="n">
        <v>3.596002927885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49</v>
      </c>
      <c r="B1" s="0" t="s">
        <v>50</v>
      </c>
      <c r="C1" s="0" t="s">
        <v>51</v>
      </c>
      <c r="D1" s="0" t="s">
        <v>52</v>
      </c>
      <c r="E1" s="0" t="s">
        <v>53</v>
      </c>
    </row>
    <row r="2" customFormat="false" ht="15" hidden="false" customHeight="false" outlineLevel="0" collapsed="false">
      <c r="A2" s="0" t="n">
        <v>19.7749027599</v>
      </c>
      <c r="B2" s="0" t="s">
        <v>54</v>
      </c>
      <c r="C2" s="0" t="s">
        <v>55</v>
      </c>
      <c r="D2" s="0" t="n">
        <v>2.72</v>
      </c>
      <c r="E2" s="0" t="n">
        <v>10.45373557145</v>
      </c>
    </row>
    <row r="3" customFormat="false" ht="15" hidden="false" customHeight="false" outlineLevel="0" collapsed="false">
      <c r="A3" s="0" t="n">
        <v>20.1458355786</v>
      </c>
      <c r="B3" s="0" t="s">
        <v>54</v>
      </c>
      <c r="C3" s="0" t="s">
        <v>55</v>
      </c>
      <c r="D3" s="0" t="n">
        <v>2.72</v>
      </c>
      <c r="E3" s="0" t="n">
        <v>10.09551149175</v>
      </c>
    </row>
    <row r="4" customFormat="false" ht="15" hidden="false" customHeight="false" outlineLevel="0" collapsed="false">
      <c r="A4" s="0" t="n">
        <v>21.4147079859</v>
      </c>
      <c r="B4" s="0" t="s">
        <v>54</v>
      </c>
      <c r="C4" s="0" t="s">
        <v>55</v>
      </c>
      <c r="D4" s="0" t="n">
        <v>2.72</v>
      </c>
      <c r="E4" s="0" t="n">
        <v>7.285326585198</v>
      </c>
    </row>
    <row r="5" customFormat="false" ht="15" hidden="false" customHeight="false" outlineLevel="0" collapsed="false">
      <c r="A5" s="0" t="n">
        <v>27.8023014295</v>
      </c>
      <c r="B5" s="0" t="s">
        <v>54</v>
      </c>
      <c r="C5" s="0" t="s">
        <v>55</v>
      </c>
      <c r="D5" s="0" t="n">
        <v>2.72</v>
      </c>
      <c r="E5" s="0" t="n">
        <v>3.85694130886</v>
      </c>
    </row>
    <row r="6" customFormat="false" ht="15" hidden="false" customHeight="false" outlineLevel="0" collapsed="false">
      <c r="A6" s="0" t="n">
        <v>13.7732077949</v>
      </c>
      <c r="B6" s="0" t="s">
        <v>54</v>
      </c>
      <c r="C6" s="0" t="s">
        <v>55</v>
      </c>
      <c r="D6" s="0" t="n">
        <v>2.18</v>
      </c>
      <c r="E6" s="0" t="n">
        <v>5.9830307543</v>
      </c>
    </row>
    <row r="7" customFormat="false" ht="15" hidden="false" customHeight="false" outlineLevel="0" collapsed="false">
      <c r="A7" s="0" t="n">
        <v>15.1294002959</v>
      </c>
      <c r="B7" s="0" t="s">
        <v>54</v>
      </c>
      <c r="C7" s="0" t="s">
        <v>55</v>
      </c>
      <c r="D7" s="0" t="n">
        <v>2.18</v>
      </c>
      <c r="E7" s="0" t="n">
        <v>6.1299860456</v>
      </c>
    </row>
    <row r="8" customFormat="false" ht="15" hidden="false" customHeight="false" outlineLevel="0" collapsed="false">
      <c r="A8" s="0" t="n">
        <v>25.7085296913</v>
      </c>
      <c r="B8" s="0" t="s">
        <v>54</v>
      </c>
      <c r="C8" s="0" t="s">
        <v>55</v>
      </c>
      <c r="D8" s="0" t="n">
        <v>2.18</v>
      </c>
      <c r="E8" s="0" t="n">
        <v>2.9867426018</v>
      </c>
    </row>
    <row r="9" customFormat="false" ht="15" hidden="false" customHeight="false" outlineLevel="0" collapsed="false">
      <c r="A9" s="0" t="n">
        <v>30.9324267393</v>
      </c>
      <c r="B9" s="0" t="s">
        <v>54</v>
      </c>
      <c r="C9" s="0" t="s">
        <v>55</v>
      </c>
      <c r="D9" s="0" t="n">
        <v>2.18</v>
      </c>
      <c r="E9" s="0" t="n">
        <v>1.2711958112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56</v>
      </c>
      <c r="B1" s="0" t="s">
        <v>57</v>
      </c>
      <c r="C1" s="0" t="s">
        <v>58</v>
      </c>
      <c r="D1" s="0" t="s">
        <v>59</v>
      </c>
      <c r="E1" s="0" t="s">
        <v>60</v>
      </c>
      <c r="F1" s="0" t="s">
        <v>61</v>
      </c>
    </row>
    <row r="2" customFormat="false" ht="15" hidden="false" customHeight="false" outlineLevel="0" collapsed="false">
      <c r="A2" s="0" t="n">
        <v>1</v>
      </c>
      <c r="B2" s="0" t="n">
        <v>500</v>
      </c>
      <c r="C2" s="0" t="n">
        <v>1.385</v>
      </c>
      <c r="D2" s="0" t="n">
        <v>2</v>
      </c>
      <c r="E2" s="0" t="n">
        <v>0.3</v>
      </c>
      <c r="F2" s="0" t="n">
        <f aca="false">B2/C2</f>
        <v>361.01083032491</v>
      </c>
    </row>
    <row r="3" customFormat="false" ht="15" hidden="false" customHeight="false" outlineLevel="0" collapsed="false">
      <c r="A3" s="0" t="n">
        <v>2</v>
      </c>
      <c r="B3" s="0" t="n">
        <v>500</v>
      </c>
      <c r="C3" s="0" t="n">
        <v>2.18</v>
      </c>
      <c r="D3" s="0" t="n">
        <v>4</v>
      </c>
      <c r="E3" s="0" t="n">
        <v>0.11</v>
      </c>
      <c r="F3" s="0" t="n">
        <f aca="false">B3/C3</f>
        <v>229.357798165138</v>
      </c>
    </row>
    <row r="4" customFormat="false" ht="15" hidden="false" customHeight="false" outlineLevel="0" collapsed="false">
      <c r="A4" s="0" t="n">
        <v>3</v>
      </c>
      <c r="B4" s="0" t="n">
        <v>1000</v>
      </c>
      <c r="C4" s="0" t="n">
        <v>2.718</v>
      </c>
      <c r="D4" s="0" t="n">
        <v>5</v>
      </c>
      <c r="E4" s="0" t="n">
        <v>0.6</v>
      </c>
      <c r="F4" s="0" t="n">
        <f aca="false">B4/C4</f>
        <v>367.917586460633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62</v>
      </c>
      <c r="B1" s="0" t="s">
        <v>63</v>
      </c>
      <c r="C1" s="0" t="s">
        <v>64</v>
      </c>
      <c r="D1" s="0" t="s">
        <v>65</v>
      </c>
      <c r="E1" s="0" t="s">
        <v>66</v>
      </c>
      <c r="F1" s="0" t="s">
        <v>2</v>
      </c>
      <c r="G1" s="0" t="s">
        <v>67</v>
      </c>
      <c r="H1" s="0" t="s">
        <v>68</v>
      </c>
      <c r="I1" s="0" t="s">
        <v>69</v>
      </c>
      <c r="J1" s="0" t="s">
        <v>70</v>
      </c>
      <c r="K1" s="0" t="s">
        <v>24</v>
      </c>
    </row>
    <row r="2" customFormat="false" ht="15" hidden="false" customHeight="false" outlineLevel="0" collapsed="false">
      <c r="A2" s="0" t="n">
        <v>1</v>
      </c>
      <c r="B2" s="0" t="n">
        <v>0.337</v>
      </c>
      <c r="C2" s="0" t="n">
        <v>1.949</v>
      </c>
      <c r="D2" s="0" t="n">
        <v>2.326</v>
      </c>
      <c r="E2" s="0" t="n">
        <v>16.2</v>
      </c>
      <c r="F2" s="0" t="n">
        <f aca="false">((1/(E2/100)-1)/5.225)^(-1)</f>
        <v>1.01008353221957</v>
      </c>
      <c r="G2" s="0" t="n">
        <v>203.7</v>
      </c>
      <c r="H2" s="3" t="n">
        <v>0.0114</v>
      </c>
      <c r="I2" s="3" t="n">
        <v>0.000186</v>
      </c>
      <c r="J2" s="3" t="n">
        <v>0.00143</v>
      </c>
      <c r="K2" s="0" t="n">
        <v>0.13</v>
      </c>
      <c r="O2" s="2" t="s">
        <v>71</v>
      </c>
      <c r="P2" s="0" t="n">
        <v>5.225</v>
      </c>
    </row>
    <row r="3" customFormat="false" ht="15" hidden="false" customHeight="false" outlineLevel="0" collapsed="false">
      <c r="A3" s="0" t="n">
        <v>2</v>
      </c>
      <c r="B3" s="0" t="n">
        <v>0.659</v>
      </c>
      <c r="C3" s="0" t="n">
        <v>1.475</v>
      </c>
      <c r="D3" s="0" t="n">
        <v>2.134</v>
      </c>
      <c r="E3" s="0" t="n">
        <v>30.9</v>
      </c>
      <c r="F3" s="0" t="n">
        <f aca="false">((1/(E3/100)-1)/5.225)^(-1)</f>
        <v>2.33650506512301</v>
      </c>
      <c r="G3" s="0" t="n">
        <v>167.9</v>
      </c>
      <c r="H3" s="3" t="n">
        <v>0.0127</v>
      </c>
      <c r="I3" s="3" t="n">
        <v>0.000167</v>
      </c>
      <c r="J3" s="3" t="n">
        <v>0.00152</v>
      </c>
      <c r="K3" s="0" t="n">
        <v>0.11</v>
      </c>
    </row>
    <row r="4" customFormat="false" ht="15" hidden="false" customHeight="false" outlineLevel="0" collapsed="false">
      <c r="A4" s="0" t="n">
        <v>3</v>
      </c>
      <c r="B4" s="0" t="n">
        <v>0.862</v>
      </c>
      <c r="C4" s="0" t="n">
        <v>1.154</v>
      </c>
      <c r="D4" s="0" t="n">
        <v>2.016</v>
      </c>
      <c r="E4" s="0" t="n">
        <v>42.8</v>
      </c>
      <c r="F4" s="0" t="n">
        <f aca="false">((1/(E4/100)-1)/5.225)^(-1)</f>
        <v>3.90961538461538</v>
      </c>
      <c r="G4" s="0" t="n">
        <v>147.2</v>
      </c>
      <c r="H4" s="3" t="n">
        <v>0.0137</v>
      </c>
      <c r="I4" s="3" t="n">
        <v>0.000155</v>
      </c>
      <c r="J4" s="3" t="n">
        <v>0.00159</v>
      </c>
      <c r="K4" s="0" t="n">
        <v>0.098</v>
      </c>
    </row>
    <row r="5" customFormat="false" ht="15" hidden="false" customHeight="false" outlineLevel="0" collapsed="false">
      <c r="A5" s="0" t="n">
        <v>4</v>
      </c>
      <c r="B5" s="0" t="n">
        <v>1.269</v>
      </c>
      <c r="C5" s="0" t="n">
        <v>0.754</v>
      </c>
      <c r="D5" s="0" t="n">
        <v>2.023</v>
      </c>
      <c r="E5" s="0" t="n">
        <v>62.7</v>
      </c>
      <c r="F5" s="0" t="n">
        <f aca="false">((1/(E5/100)-1)/5.225)^(-1)</f>
        <v>8.78304289544236</v>
      </c>
      <c r="G5" s="0" t="n">
        <v>128.1</v>
      </c>
      <c r="H5" s="3" t="n">
        <v>0.0158</v>
      </c>
      <c r="I5" s="3" t="n">
        <v>0.000134</v>
      </c>
      <c r="J5" s="3" t="n">
        <v>0.0017</v>
      </c>
      <c r="K5" s="0" t="n">
        <v>0.079</v>
      </c>
    </row>
    <row r="6" customFormat="false" ht="15" hidden="false" customHeight="false" outlineLevel="0" collapsed="false">
      <c r="A6" s="0" t="n">
        <v>5</v>
      </c>
      <c r="B6" s="0" t="n">
        <v>1.513</v>
      </c>
      <c r="C6" s="0" t="n">
        <v>0.516</v>
      </c>
      <c r="D6" s="0" t="n">
        <v>2.029</v>
      </c>
      <c r="E6" s="0" t="n">
        <v>74.6</v>
      </c>
      <c r="F6" s="0" t="n">
        <f aca="false">((1/(E6/100)-1)/5.225)^(-1)</f>
        <v>15.3458661417323</v>
      </c>
      <c r="G6" s="0" t="n">
        <v>119</v>
      </c>
      <c r="H6" s="3" t="n">
        <v>0.0171</v>
      </c>
      <c r="I6" s="3" t="n">
        <v>0.000124</v>
      </c>
      <c r="J6" s="3" t="n">
        <v>0.00177</v>
      </c>
      <c r="K6" s="0" t="n">
        <v>0.07</v>
      </c>
    </row>
    <row r="7" customFormat="false" ht="15" hidden="false" customHeight="false" outlineLevel="0" collapsed="false">
      <c r="A7" s="0" t="n">
        <v>6</v>
      </c>
      <c r="B7" s="0" t="n">
        <v>1.897</v>
      </c>
      <c r="C7" s="0" t="s">
        <v>45</v>
      </c>
      <c r="D7" s="0" t="n">
        <v>1.897</v>
      </c>
      <c r="E7" s="0" t="n">
        <v>100</v>
      </c>
      <c r="F7" s="0" t="s">
        <v>72</v>
      </c>
      <c r="G7" s="0" t="n">
        <v>97.7</v>
      </c>
      <c r="H7" s="3" t="n">
        <v>0.0194</v>
      </c>
      <c r="I7" s="3" t="n">
        <v>0.000109</v>
      </c>
      <c r="J7" s="3" t="n">
        <v>0.00192</v>
      </c>
      <c r="K7" s="0" t="n">
        <v>0.057</v>
      </c>
    </row>
    <row r="8" customFormat="false" ht="15" hidden="false" customHeight="false" outlineLevel="0" collapsed="false">
      <c r="A8" s="0" t="n">
        <v>7</v>
      </c>
      <c r="B8" s="0" t="s">
        <v>45</v>
      </c>
      <c r="C8" s="0" t="n">
        <v>1.965</v>
      </c>
      <c r="D8" s="0" t="n">
        <v>1.965</v>
      </c>
      <c r="E8" s="0" t="n">
        <v>0</v>
      </c>
      <c r="F8" s="0" t="n">
        <v>0</v>
      </c>
      <c r="G8" s="0" t="n">
        <v>188.1</v>
      </c>
      <c r="H8" s="3" t="n">
        <v>0.0104</v>
      </c>
      <c r="I8" s="3" t="n">
        <v>0.000205</v>
      </c>
      <c r="J8" s="3" t="n">
        <v>0.00134</v>
      </c>
      <c r="K8" s="0" t="n">
        <v>0.153</v>
      </c>
    </row>
    <row r="9" customFormat="false" ht="15" hidden="false" customHeight="false" outlineLevel="0" collapsed="false">
      <c r="A9" s="0" t="n">
        <v>8</v>
      </c>
      <c r="B9" s="0" t="s">
        <v>45</v>
      </c>
      <c r="C9" s="0" t="n">
        <v>1.656</v>
      </c>
      <c r="D9" s="0" t="n">
        <v>1.656</v>
      </c>
      <c r="E9" s="0" t="n">
        <v>0</v>
      </c>
      <c r="F9" s="0" t="n">
        <v>0</v>
      </c>
      <c r="G9" s="0" t="n">
        <v>158.5</v>
      </c>
      <c r="H9" s="3" t="n">
        <v>0.0104</v>
      </c>
      <c r="I9" s="3" t="n">
        <v>0.000205</v>
      </c>
      <c r="J9" s="3" t="n">
        <v>0.00134</v>
      </c>
      <c r="K9" s="0" t="n">
        <v>0.153</v>
      </c>
    </row>
    <row r="10" customFormat="false" ht="15" hidden="false" customHeight="false" outlineLevel="0" collapsed="false">
      <c r="A10" s="0" t="n">
        <v>9</v>
      </c>
      <c r="B10" s="0" t="n">
        <v>0.174</v>
      </c>
      <c r="C10" s="0" t="n">
        <v>1.888</v>
      </c>
      <c r="D10" s="0" t="n">
        <v>2.062</v>
      </c>
      <c r="E10" s="0" t="n">
        <v>8.4</v>
      </c>
      <c r="F10" s="0" t="n">
        <f aca="false">((1/(E10/100)-1)/5.225)^(-1)</f>
        <v>0.479148471615721</v>
      </c>
      <c r="G10" s="0" t="n">
        <v>191</v>
      </c>
      <c r="H10" s="3" t="n">
        <v>0.0108</v>
      </c>
      <c r="I10" s="3" t="n">
        <v>0.000196</v>
      </c>
      <c r="J10" s="3" t="n">
        <v>0.00139</v>
      </c>
      <c r="K10" s="0" t="n">
        <v>0.141</v>
      </c>
    </row>
    <row r="11" customFormat="false" ht="15" hidden="false" customHeight="false" outlineLevel="0" collapsed="false">
      <c r="A11" s="0" t="n">
        <v>10</v>
      </c>
      <c r="B11" s="0" t="n">
        <v>1.412</v>
      </c>
      <c r="C11" s="0" t="n">
        <v>0.383</v>
      </c>
      <c r="D11" s="0" t="n">
        <v>1.795</v>
      </c>
      <c r="E11" s="0" t="n">
        <v>78.7</v>
      </c>
      <c r="F11" s="0" t="n">
        <f aca="false">((1/(E11/100)-1)/5.225)^(-1)</f>
        <v>19.3055164319249</v>
      </c>
      <c r="G11" s="0" t="n">
        <v>103</v>
      </c>
      <c r="H11" s="3" t="n">
        <v>0.0174</v>
      </c>
      <c r="I11" s="3" t="n">
        <v>0.000122</v>
      </c>
      <c r="J11" s="3" t="n">
        <v>0.0018</v>
      </c>
      <c r="K11" s="0" t="n">
        <v>0.068</v>
      </c>
    </row>
    <row r="12" customFormat="false" ht="15" hidden="false" customHeight="false" outlineLevel="0" collapsed="false">
      <c r="A12" s="0" t="n">
        <v>11</v>
      </c>
      <c r="B12" s="0" t="s">
        <v>45</v>
      </c>
      <c r="C12" s="0" t="n">
        <v>1.658</v>
      </c>
      <c r="D12" s="0" t="n">
        <v>1.658</v>
      </c>
      <c r="E12" s="0" t="n">
        <v>0</v>
      </c>
      <c r="F12" s="0" t="n">
        <v>0</v>
      </c>
      <c r="G12" s="0" t="n">
        <v>164</v>
      </c>
      <c r="H12" s="3" t="n">
        <v>0.0101</v>
      </c>
      <c r="I12" s="3" t="n">
        <v>0.000205</v>
      </c>
      <c r="J12" s="3" t="n">
        <v>0.00134</v>
      </c>
      <c r="K12" s="0" t="n">
        <v>0.153</v>
      </c>
    </row>
    <row r="13" customFormat="false" ht="15" hidden="false" customHeight="false" outlineLevel="0" collapsed="false">
      <c r="A13" s="0" t="n">
        <v>12</v>
      </c>
      <c r="B13" s="0" t="n">
        <v>1.014</v>
      </c>
      <c r="C13" s="0" t="n">
        <v>1.06</v>
      </c>
      <c r="D13" s="0" t="n">
        <v>2.074</v>
      </c>
      <c r="E13" s="0" t="n">
        <v>48.9</v>
      </c>
      <c r="F13" s="0" t="n">
        <f aca="false">((1/(E13/100)-1)/5.225)^(-1)</f>
        <v>5.00004892367906</v>
      </c>
      <c r="G13" s="0" t="n">
        <v>145.5</v>
      </c>
      <c r="H13" s="3" t="n">
        <v>0.0142</v>
      </c>
      <c r="I13" s="3" t="n">
        <v>0.000149</v>
      </c>
      <c r="J13" s="3" t="n">
        <v>0.00162</v>
      </c>
      <c r="K13" s="0" t="n">
        <v>0.092</v>
      </c>
    </row>
    <row r="14" customFormat="false" ht="15" hidden="false" customHeight="false" outlineLevel="0" collapsed="false">
      <c r="A14" s="0" t="n">
        <v>13</v>
      </c>
      <c r="B14" s="0" t="n">
        <v>1.913</v>
      </c>
      <c r="C14" s="0" t="n">
        <v>0.212</v>
      </c>
      <c r="D14" s="0" t="n">
        <v>2.125</v>
      </c>
      <c r="E14" s="0" t="n">
        <v>90</v>
      </c>
      <c r="F14" s="0" t="n">
        <f aca="false">((1/(E14/100)-1)/5.225)^(-1)</f>
        <v>47.025</v>
      </c>
      <c r="G14" s="0" t="n">
        <v>114.8</v>
      </c>
      <c r="H14" s="3" t="n">
        <v>0.0184</v>
      </c>
      <c r="I14" s="3" t="n">
        <v>0.000115</v>
      </c>
      <c r="J14" s="3" t="n">
        <v>0.00186</v>
      </c>
      <c r="K14" s="0" t="n">
        <v>0.062</v>
      </c>
    </row>
    <row r="15" customFormat="false" ht="15" hidden="false" customHeight="false" outlineLevel="0" collapsed="false">
      <c r="A15" s="0" t="n">
        <v>14</v>
      </c>
      <c r="B15" s="0" t="n">
        <v>1.932</v>
      </c>
      <c r="C15" s="0" t="s">
        <v>45</v>
      </c>
      <c r="D15" s="0" t="n">
        <v>1.932</v>
      </c>
      <c r="E15" s="0" t="n">
        <v>100</v>
      </c>
      <c r="F15" s="0" t="s">
        <v>72</v>
      </c>
      <c r="G15" s="0" t="n">
        <v>99.5</v>
      </c>
      <c r="H15" s="3" t="n">
        <v>0.0194</v>
      </c>
      <c r="I15" s="3" t="n">
        <v>0.000109</v>
      </c>
      <c r="J15" s="3" t="n">
        <v>0.00192</v>
      </c>
      <c r="K15" s="0" t="n">
        <v>0.057</v>
      </c>
    </row>
    <row r="16" customFormat="false" ht="15" hidden="false" customHeight="false" outlineLevel="0" collapsed="false">
      <c r="A16" s="0" t="n">
        <v>15</v>
      </c>
      <c r="B16" s="0" t="s">
        <v>45</v>
      </c>
      <c r="C16" s="0" t="n">
        <v>2</v>
      </c>
      <c r="D16" s="0" t="n">
        <v>2</v>
      </c>
      <c r="E16" s="0" t="n">
        <v>0</v>
      </c>
      <c r="F16" s="0" t="n">
        <v>0</v>
      </c>
      <c r="G16" s="0" t="n">
        <v>191</v>
      </c>
      <c r="H16" s="3" t="n">
        <v>0.0104</v>
      </c>
      <c r="I16" s="3" t="n">
        <v>0.000205</v>
      </c>
      <c r="J16" s="3" t="n">
        <v>0.00134</v>
      </c>
      <c r="K16" s="0" t="n">
        <v>0.153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8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AA1" activeCellId="0" sqref="AA1"/>
    </sheetView>
  </sheetViews>
  <sheetFormatPr defaultColWidth="8.6796875" defaultRowHeight="15" zeroHeight="false" outlineLevelRow="0" outlineLevelCol="0"/>
  <cols>
    <col collapsed="false" customWidth="true" hidden="false" outlineLevel="0" max="4" min="4" style="0" width="9.57"/>
  </cols>
  <sheetData>
    <row r="1" customFormat="false" ht="15" hidden="false" customHeight="false" outlineLevel="0" collapsed="false">
      <c r="A1" s="0" t="s">
        <v>62</v>
      </c>
      <c r="B1" s="0" t="s">
        <v>52</v>
      </c>
      <c r="C1" s="0" t="s">
        <v>73</v>
      </c>
      <c r="D1" s="0" t="s">
        <v>74</v>
      </c>
      <c r="E1" s="0" t="s">
        <v>64</v>
      </c>
      <c r="F1" s="0" t="s">
        <v>65</v>
      </c>
      <c r="G1" s="0" t="s">
        <v>49</v>
      </c>
      <c r="H1" s="0" t="s">
        <v>2</v>
      </c>
      <c r="I1" s="0" t="s">
        <v>24</v>
      </c>
      <c r="J1" s="0" t="s">
        <v>75</v>
      </c>
      <c r="K1" s="0" t="s">
        <v>76</v>
      </c>
      <c r="L1" s="0" t="s">
        <v>77</v>
      </c>
      <c r="M1" s="0" t="s">
        <v>78</v>
      </c>
      <c r="N1" s="0" t="s">
        <v>79</v>
      </c>
      <c r="O1" s="0" t="s">
        <v>80</v>
      </c>
      <c r="P1" s="0" t="s">
        <v>81</v>
      </c>
      <c r="Q1" s="0" t="s">
        <v>82</v>
      </c>
      <c r="R1" s="0" t="s">
        <v>39</v>
      </c>
      <c r="S1" s="0" t="s">
        <v>38</v>
      </c>
      <c r="T1" s="0" t="s">
        <v>40</v>
      </c>
      <c r="U1" s="0" t="s">
        <v>20</v>
      </c>
      <c r="V1" s="0" t="s">
        <v>83</v>
      </c>
      <c r="W1" s="0" t="s">
        <v>84</v>
      </c>
      <c r="X1" s="0" t="s">
        <v>85</v>
      </c>
      <c r="Y1" s="0" t="s">
        <v>86</v>
      </c>
      <c r="Z1" s="0" t="s">
        <v>87</v>
      </c>
    </row>
    <row r="2" s="1" customFormat="true" ht="15" hidden="false" customHeight="false" outlineLevel="0" collapsed="false">
      <c r="A2" s="1" t="n">
        <v>11</v>
      </c>
      <c r="B2" s="1" t="n">
        <v>1.385</v>
      </c>
      <c r="C2" s="1" t="n">
        <v>45.7</v>
      </c>
      <c r="D2" s="1" t="n">
        <v>2.12</v>
      </c>
      <c r="E2" s="1" t="n">
        <v>21.54</v>
      </c>
      <c r="F2" s="1" t="n">
        <v>23.66</v>
      </c>
      <c r="G2" s="1" t="n">
        <v>8.96</v>
      </c>
      <c r="H2" s="1" t="n">
        <f aca="false">((1/(G2/100)-1)/5.225)^(-1)</f>
        <v>0.514235500878735</v>
      </c>
      <c r="I2" s="1" t="n">
        <v>0.14</v>
      </c>
      <c r="J2" s="1" t="s">
        <v>88</v>
      </c>
      <c r="K2" s="1" t="n">
        <v>0.465</v>
      </c>
      <c r="L2" s="1" t="s">
        <v>45</v>
      </c>
      <c r="M2" s="1" t="n">
        <v>0.04</v>
      </c>
      <c r="N2" s="1" t="s">
        <v>45</v>
      </c>
      <c r="O2" s="1" t="n">
        <v>0.117</v>
      </c>
      <c r="P2" s="1" t="s">
        <v>45</v>
      </c>
      <c r="Q2" s="1" t="n">
        <v>1571</v>
      </c>
      <c r="R2" s="1" t="n">
        <v>202</v>
      </c>
      <c r="S2" s="1" t="s">
        <v>45</v>
      </c>
      <c r="T2" s="1" t="s">
        <v>45</v>
      </c>
      <c r="U2" s="1" t="n">
        <v>1555</v>
      </c>
      <c r="V2" s="1" t="n">
        <f aca="false">SQRT(U2)</f>
        <v>39.4334883062607</v>
      </c>
      <c r="W2" s="1" t="s">
        <v>89</v>
      </c>
      <c r="X2" s="1" t="s">
        <v>47</v>
      </c>
      <c r="Y2" s="1" t="n">
        <v>3.36</v>
      </c>
      <c r="Z2" s="1" t="s">
        <v>45</v>
      </c>
    </row>
    <row r="3" s="1" customFormat="true" ht="15" hidden="false" customHeight="false" outlineLevel="0" collapsed="false">
      <c r="A3" s="1" t="n">
        <v>12</v>
      </c>
      <c r="B3" s="1" t="n">
        <v>1.385</v>
      </c>
      <c r="C3" s="1" t="s">
        <v>45</v>
      </c>
      <c r="D3" s="1" t="n">
        <v>2.59</v>
      </c>
      <c r="E3" s="1" t="n">
        <v>18.24</v>
      </c>
      <c r="F3" s="1" t="n">
        <v>20.83</v>
      </c>
      <c r="G3" s="1" t="n">
        <v>12.43</v>
      </c>
      <c r="H3" s="1" t="n">
        <f aca="false">((1/(G3/100)-1)/5.225)^(-1)</f>
        <v>0.741655247230787</v>
      </c>
      <c r="I3" s="1" t="n">
        <v>0.135</v>
      </c>
      <c r="J3" s="1" t="s">
        <v>88</v>
      </c>
      <c r="K3" s="1" t="n">
        <v>0.312</v>
      </c>
      <c r="L3" s="1" t="s">
        <v>45</v>
      </c>
      <c r="M3" s="1" t="n">
        <v>0.04</v>
      </c>
      <c r="N3" s="1" t="s">
        <v>45</v>
      </c>
      <c r="O3" s="1" t="n">
        <v>0.078</v>
      </c>
      <c r="P3" s="1" t="s">
        <v>45</v>
      </c>
      <c r="Q3" s="1" t="n">
        <v>1383</v>
      </c>
      <c r="R3" s="1" t="n">
        <v>266</v>
      </c>
      <c r="S3" s="1" t="s">
        <v>45</v>
      </c>
      <c r="T3" s="1" t="s">
        <v>45</v>
      </c>
      <c r="U3" s="1" t="n">
        <v>1421</v>
      </c>
      <c r="V3" s="1" t="n">
        <f aca="false">SQRT(U3)</f>
        <v>37.6961536499415</v>
      </c>
      <c r="W3" s="1" t="s">
        <v>89</v>
      </c>
      <c r="X3" s="1" t="s">
        <v>47</v>
      </c>
      <c r="Y3" s="1" t="n">
        <v>2.25</v>
      </c>
      <c r="Z3" s="1" t="s">
        <v>45</v>
      </c>
    </row>
    <row r="4" customFormat="false" ht="15" hidden="false" customHeight="false" outlineLevel="0" collapsed="false">
      <c r="A4" s="0" t="n">
        <v>22</v>
      </c>
      <c r="B4" s="0" t="n">
        <v>1.385</v>
      </c>
      <c r="C4" s="0" t="n">
        <v>46.5</v>
      </c>
      <c r="D4" s="0" t="n">
        <v>7.1</v>
      </c>
      <c r="E4" s="0" t="n">
        <v>50.85</v>
      </c>
      <c r="F4" s="0" t="n">
        <v>57.95</v>
      </c>
      <c r="G4" s="0" t="n">
        <v>12.25</v>
      </c>
      <c r="H4" s="0" t="n">
        <f aca="false">((1/(G4/100)-1)/5.225)^(-1)</f>
        <v>0.729415954415954</v>
      </c>
      <c r="I4" s="0" t="n">
        <v>0.135</v>
      </c>
      <c r="J4" s="0" t="s">
        <v>88</v>
      </c>
      <c r="K4" s="0" t="n">
        <v>0.675</v>
      </c>
      <c r="L4" s="0" t="s">
        <v>45</v>
      </c>
      <c r="M4" s="0" t="n">
        <v>0.055</v>
      </c>
      <c r="N4" s="0" t="s">
        <v>45</v>
      </c>
      <c r="O4" s="0" t="n">
        <v>0.233</v>
      </c>
      <c r="P4" s="0" t="s">
        <v>45</v>
      </c>
      <c r="Q4" s="0" t="n">
        <v>3860</v>
      </c>
      <c r="R4" s="0" t="n">
        <v>248.5</v>
      </c>
      <c r="S4" s="0" t="s">
        <v>45</v>
      </c>
      <c r="T4" s="0" t="s">
        <v>45</v>
      </c>
      <c r="U4" s="0" t="n">
        <v>3960</v>
      </c>
      <c r="V4" s="0" t="n">
        <f aca="false">SQRT(U4)</f>
        <v>62.9285308902091</v>
      </c>
      <c r="W4" s="0" t="s">
        <v>47</v>
      </c>
      <c r="X4" s="0" t="s">
        <v>89</v>
      </c>
      <c r="Y4" s="0" t="n">
        <v>4.87</v>
      </c>
      <c r="Z4" s="0" t="s">
        <v>45</v>
      </c>
    </row>
    <row r="5" customFormat="false" ht="15" hidden="false" customHeight="false" outlineLevel="0" collapsed="false">
      <c r="A5" s="0" t="n">
        <v>25</v>
      </c>
      <c r="B5" s="0" t="n">
        <v>1.385</v>
      </c>
      <c r="C5" s="0" t="s">
        <v>45</v>
      </c>
      <c r="D5" s="0" t="n">
        <v>5.08</v>
      </c>
      <c r="E5" s="0" t="n">
        <v>38.2</v>
      </c>
      <c r="F5" s="0" t="n">
        <v>43.28</v>
      </c>
      <c r="G5" s="0" t="n">
        <v>11.72</v>
      </c>
      <c r="H5" s="0" t="n">
        <f aca="false">((1/(G5/100)-1)/5.225)^(-1)</f>
        <v>0.693667874943362</v>
      </c>
      <c r="I5" s="0" t="n">
        <v>0.136</v>
      </c>
      <c r="J5" s="0" t="s">
        <v>88</v>
      </c>
      <c r="K5" s="0" t="n">
        <v>0.665</v>
      </c>
      <c r="L5" s="0" t="s">
        <v>45</v>
      </c>
      <c r="M5" s="0" t="n">
        <v>0.041</v>
      </c>
      <c r="N5" s="0" t="s">
        <v>45</v>
      </c>
      <c r="O5" s="0" t="n">
        <v>0.171</v>
      </c>
      <c r="P5" s="0" t="s">
        <v>45</v>
      </c>
      <c r="Q5" s="0" t="n">
        <v>2874</v>
      </c>
      <c r="R5" s="0" t="n">
        <v>252.7</v>
      </c>
      <c r="S5" s="0" t="s">
        <v>45</v>
      </c>
      <c r="T5" s="0" t="s">
        <v>45</v>
      </c>
      <c r="U5" s="0" t="n">
        <v>2933</v>
      </c>
      <c r="V5" s="0" t="n">
        <f aca="false">SQRT(U5)</f>
        <v>54.157178656204</v>
      </c>
      <c r="W5" s="0" t="s">
        <v>47</v>
      </c>
      <c r="X5" s="0" t="s">
        <v>89</v>
      </c>
      <c r="Y5" s="0" t="n">
        <v>4.8</v>
      </c>
      <c r="Z5" s="0" t="s">
        <v>45</v>
      </c>
    </row>
    <row r="6" s="1" customFormat="true" ht="15" hidden="false" customHeight="false" outlineLevel="0" collapsed="false">
      <c r="A6" s="1" t="n">
        <v>49</v>
      </c>
      <c r="B6" s="1" t="n">
        <v>1.385</v>
      </c>
      <c r="C6" s="1" t="n">
        <v>46.17</v>
      </c>
      <c r="D6" s="1" t="n">
        <v>2.628</v>
      </c>
      <c r="E6" s="1" t="n">
        <v>13.05</v>
      </c>
      <c r="F6" s="1" t="n">
        <v>15.68</v>
      </c>
      <c r="G6" s="1" t="n">
        <v>16.75</v>
      </c>
      <c r="H6" s="1" t="n">
        <f aca="false">((1/(G6/100)-1)/5.225)^(-1)</f>
        <v>1.05127627627628</v>
      </c>
      <c r="I6" s="1" t="n">
        <v>0.129</v>
      </c>
      <c r="J6" s="1" t="s">
        <v>90</v>
      </c>
      <c r="K6" s="1" t="n">
        <v>0.245</v>
      </c>
      <c r="L6" s="1" t="n">
        <v>0.243</v>
      </c>
      <c r="M6" s="1" t="n">
        <v>0.037</v>
      </c>
      <c r="N6" s="1" t="n">
        <v>0.032</v>
      </c>
      <c r="O6" s="1" t="n">
        <v>0.057</v>
      </c>
      <c r="P6" s="1" t="n">
        <v>0.0488</v>
      </c>
      <c r="Q6" s="1" t="n">
        <v>1042</v>
      </c>
      <c r="R6" s="1" t="n">
        <v>275</v>
      </c>
      <c r="S6" s="1" t="n">
        <v>321</v>
      </c>
      <c r="T6" s="1" t="n">
        <v>1.17</v>
      </c>
      <c r="U6" s="1" t="n">
        <v>1119</v>
      </c>
      <c r="V6" s="1" t="n">
        <f aca="false">SQRT(U6)</f>
        <v>33.4514573673555</v>
      </c>
      <c r="W6" s="1" t="s">
        <v>89</v>
      </c>
      <c r="X6" s="1" t="s">
        <v>47</v>
      </c>
      <c r="Y6" s="1" t="n">
        <v>1.77</v>
      </c>
      <c r="Z6" s="1" t="n">
        <v>1.75</v>
      </c>
    </row>
    <row r="7" s="1" customFormat="true" ht="15" hidden="false" customHeight="false" outlineLevel="0" collapsed="false">
      <c r="A7" s="1" t="n">
        <v>50</v>
      </c>
      <c r="B7" s="1" t="n">
        <v>1.385</v>
      </c>
      <c r="C7" s="1" t="s">
        <v>45</v>
      </c>
      <c r="D7" s="1" t="n">
        <v>3.64</v>
      </c>
      <c r="E7" s="1" t="n">
        <v>10.33</v>
      </c>
      <c r="F7" s="1" t="n">
        <v>13.97</v>
      </c>
      <c r="G7" s="1" t="n">
        <v>26.02</v>
      </c>
      <c r="H7" s="1" t="n">
        <f aca="false">((1/(G7/100)-1)/5.225)^(-1)</f>
        <v>1.83771965396053</v>
      </c>
      <c r="I7" s="1" t="n">
        <v>0.117</v>
      </c>
      <c r="J7" s="1" t="s">
        <v>90</v>
      </c>
      <c r="K7" s="1" t="n">
        <v>0.36</v>
      </c>
      <c r="L7" s="1" t="n">
        <v>0.35</v>
      </c>
      <c r="M7" s="1" t="n">
        <v>0.0425</v>
      </c>
      <c r="N7" s="1" t="n">
        <v>0.031</v>
      </c>
      <c r="O7" s="1" t="n">
        <v>0.096</v>
      </c>
      <c r="P7" s="1" t="n">
        <v>0.068</v>
      </c>
      <c r="Q7" s="1" t="n">
        <v>928</v>
      </c>
      <c r="R7" s="1" t="n">
        <v>145.2</v>
      </c>
      <c r="S7" s="1" t="n">
        <v>205</v>
      </c>
      <c r="T7" s="1" t="n">
        <v>1.41</v>
      </c>
      <c r="U7" s="1" t="n">
        <v>1098</v>
      </c>
      <c r="V7" s="1" t="n">
        <f aca="false">SQRT(U7)</f>
        <v>33.1360830515618</v>
      </c>
      <c r="W7" s="1" t="s">
        <v>89</v>
      </c>
      <c r="X7" s="1" t="s">
        <v>47</v>
      </c>
      <c r="Y7" s="1" t="n">
        <v>2.6</v>
      </c>
      <c r="Z7" s="1" t="n">
        <v>2.53</v>
      </c>
    </row>
    <row r="8" customFormat="false" ht="15" hidden="false" customHeight="false" outlineLevel="0" collapsed="false">
      <c r="A8" s="0" t="n">
        <v>51</v>
      </c>
      <c r="B8" s="0" t="n">
        <v>1.385</v>
      </c>
      <c r="C8" s="0" t="s">
        <v>45</v>
      </c>
      <c r="D8" s="0" t="n">
        <v>7.9</v>
      </c>
      <c r="E8" s="0" t="n">
        <v>29.55</v>
      </c>
      <c r="F8" s="0" t="n">
        <v>37.45</v>
      </c>
      <c r="G8" s="0" t="n">
        <v>21.1</v>
      </c>
      <c r="H8" s="0" t="n">
        <f aca="false">((1/(G8/100)-1)/5.225)^(-1)</f>
        <v>1.39730671736375</v>
      </c>
      <c r="I8" s="0" t="n">
        <v>0.123</v>
      </c>
      <c r="J8" s="0" t="s">
        <v>90</v>
      </c>
      <c r="K8" s="0" t="n">
        <v>0.565</v>
      </c>
      <c r="L8" s="0" t="n">
        <v>0.538</v>
      </c>
      <c r="M8" s="0" t="n">
        <v>0.05</v>
      </c>
      <c r="N8" s="0" t="n">
        <v>0.038</v>
      </c>
      <c r="O8" s="0" t="n">
        <v>0.177</v>
      </c>
      <c r="P8" s="0" t="n">
        <v>0.128</v>
      </c>
      <c r="Q8" s="0" t="n">
        <v>2488</v>
      </c>
      <c r="R8" s="0" t="n">
        <v>211.4</v>
      </c>
      <c r="S8" s="0" t="n">
        <v>291.9</v>
      </c>
      <c r="T8" s="0" t="n">
        <v>1.38</v>
      </c>
      <c r="U8" s="0" t="n">
        <v>2800</v>
      </c>
      <c r="V8" s="0" t="n">
        <f aca="false">SQRT(U8)</f>
        <v>52.9150262212918</v>
      </c>
      <c r="W8" s="0" t="s">
        <v>47</v>
      </c>
      <c r="X8" s="0" t="s">
        <v>89</v>
      </c>
      <c r="Y8" s="0" t="n">
        <v>4.08</v>
      </c>
      <c r="Z8" s="0" t="n">
        <v>3.88</v>
      </c>
    </row>
    <row r="9" customFormat="false" ht="15" hidden="false" customHeight="false" outlineLevel="0" collapsed="false">
      <c r="A9" s="0" t="n">
        <v>52</v>
      </c>
      <c r="B9" s="0" t="n">
        <v>1.385</v>
      </c>
      <c r="C9" s="0" t="s">
        <v>45</v>
      </c>
      <c r="D9" s="0" t="n">
        <v>10.34</v>
      </c>
      <c r="E9" s="0" t="n">
        <v>27.85</v>
      </c>
      <c r="F9" s="0" t="n">
        <v>38.19</v>
      </c>
      <c r="G9" s="0" t="n">
        <v>27.07</v>
      </c>
      <c r="H9" s="0" t="n">
        <f aca="false">((1/(G9/100)-1)/5.225)^(-1)</f>
        <v>1.93940422322775</v>
      </c>
      <c r="I9" s="0" t="n">
        <v>0.116</v>
      </c>
      <c r="J9" s="0" t="s">
        <v>90</v>
      </c>
      <c r="K9" s="0" t="n">
        <v>1.73</v>
      </c>
      <c r="L9" s="0" t="s">
        <v>45</v>
      </c>
      <c r="M9" s="0" t="n">
        <v>0.07</v>
      </c>
      <c r="N9" s="0" t="s">
        <v>45</v>
      </c>
      <c r="O9" s="0" t="n">
        <v>0.76</v>
      </c>
      <c r="P9" s="0" t="s">
        <v>45</v>
      </c>
      <c r="Q9" s="0" t="n">
        <v>2537</v>
      </c>
      <c r="R9" s="0" t="n">
        <v>50.2</v>
      </c>
      <c r="S9" s="0" t="s">
        <v>45</v>
      </c>
      <c r="T9" s="0" t="s">
        <v>45</v>
      </c>
      <c r="U9" s="0" t="n">
        <v>3035</v>
      </c>
      <c r="V9" s="0" t="n">
        <f aca="false">SQRT(U9)</f>
        <v>55.0908340833573</v>
      </c>
      <c r="W9" s="0" t="s">
        <v>47</v>
      </c>
      <c r="X9" s="0" t="s">
        <v>89</v>
      </c>
      <c r="Y9" s="0" t="n">
        <v>12.5</v>
      </c>
      <c r="Z9" s="0" t="s">
        <v>45</v>
      </c>
    </row>
    <row r="10" customFormat="false" ht="15" hidden="false" customHeight="false" outlineLevel="0" collapsed="false">
      <c r="A10" s="0" t="n">
        <v>53</v>
      </c>
      <c r="B10" s="0" t="n">
        <v>1.385</v>
      </c>
      <c r="C10" s="0" t="n">
        <v>46.1</v>
      </c>
      <c r="D10" s="0" t="n">
        <v>7.59</v>
      </c>
      <c r="E10" s="0" t="n">
        <v>45</v>
      </c>
      <c r="F10" s="0" t="n">
        <v>52.59</v>
      </c>
      <c r="G10" s="0" t="n">
        <v>14.45</v>
      </c>
      <c r="H10" s="0" t="n">
        <f aca="false">((1/(G10/100)-1)/5.225)^(-1)</f>
        <v>0.882539450613676</v>
      </c>
      <c r="I10" s="0" t="n">
        <v>0.132</v>
      </c>
      <c r="J10" s="0" t="s">
        <v>90</v>
      </c>
      <c r="K10" s="0" t="n">
        <v>0.56</v>
      </c>
      <c r="L10" s="0" t="n">
        <v>0.438</v>
      </c>
      <c r="M10" s="0" t="n">
        <v>0.057</v>
      </c>
      <c r="N10" s="0" t="n">
        <v>0.044</v>
      </c>
      <c r="O10" s="0" t="n">
        <v>0.2</v>
      </c>
      <c r="P10" s="0" t="n">
        <v>0.121</v>
      </c>
      <c r="Q10" s="0" t="n">
        <v>3500</v>
      </c>
      <c r="R10" s="0" t="n">
        <v>262</v>
      </c>
      <c r="S10" s="0" t="n">
        <v>434.7</v>
      </c>
      <c r="T10" s="0" t="n">
        <v>1.66</v>
      </c>
      <c r="U10" s="0" t="n">
        <v>3675</v>
      </c>
      <c r="V10" s="0" t="n">
        <f aca="false">SQRT(U10)</f>
        <v>60.6217782649107</v>
      </c>
      <c r="W10" s="0" t="s">
        <v>47</v>
      </c>
      <c r="X10" s="0" t="s">
        <v>89</v>
      </c>
      <c r="Y10" s="0" t="n">
        <v>4.04</v>
      </c>
      <c r="Z10" s="0" t="n">
        <v>3.16</v>
      </c>
    </row>
    <row r="11" s="1" customFormat="true" ht="15" hidden="false" customHeight="false" outlineLevel="0" collapsed="false">
      <c r="A11" s="1" t="n">
        <v>28</v>
      </c>
      <c r="B11" s="1" t="n">
        <v>2.18</v>
      </c>
      <c r="C11" s="1" t="n">
        <v>46.34</v>
      </c>
      <c r="D11" s="1" t="n">
        <v>0.656</v>
      </c>
      <c r="E11" s="1" t="n">
        <v>14.68</v>
      </c>
      <c r="F11" s="1" t="n">
        <v>15.34</v>
      </c>
      <c r="G11" s="1" t="n">
        <v>4.28</v>
      </c>
      <c r="H11" s="1" t="n">
        <f aca="false">((1/(G11/100)-1)/5.225)^(-1)</f>
        <v>0.233629335562056</v>
      </c>
      <c r="I11" s="1" t="n">
        <v>0.147</v>
      </c>
      <c r="J11" s="1" t="s">
        <v>88</v>
      </c>
      <c r="K11" s="1" t="n">
        <v>0.49</v>
      </c>
      <c r="L11" s="1" t="s">
        <v>45</v>
      </c>
      <c r="M11" s="1" t="n">
        <v>0.069</v>
      </c>
      <c r="N11" s="1" t="s">
        <v>45</v>
      </c>
      <c r="O11" s="1" t="n">
        <v>0.213</v>
      </c>
      <c r="P11" s="1" t="s">
        <v>45</v>
      </c>
      <c r="Q11" s="1" t="n">
        <v>411</v>
      </c>
      <c r="R11" s="1" t="n">
        <v>72.2</v>
      </c>
      <c r="S11" s="1" t="s">
        <v>45</v>
      </c>
      <c r="T11" s="1" t="s">
        <v>45</v>
      </c>
      <c r="U11" s="1" t="n">
        <v>612</v>
      </c>
      <c r="V11" s="1" t="n">
        <f aca="false">SQRT(U11)</f>
        <v>24.738633753706</v>
      </c>
      <c r="W11" s="1" t="s">
        <v>89</v>
      </c>
      <c r="X11" s="1" t="s">
        <v>47</v>
      </c>
      <c r="Y11" s="1" t="n">
        <v>2.25</v>
      </c>
      <c r="Z11" s="1" t="s">
        <v>45</v>
      </c>
    </row>
    <row r="12" customFormat="false" ht="15" hidden="false" customHeight="false" outlineLevel="0" collapsed="false">
      <c r="A12" s="0" t="n">
        <v>37</v>
      </c>
      <c r="B12" s="0" t="n">
        <v>2.18</v>
      </c>
      <c r="C12" s="0" t="n">
        <v>46.16</v>
      </c>
      <c r="D12" s="0" t="n">
        <v>15.42</v>
      </c>
      <c r="E12" s="0" t="n">
        <v>98.9</v>
      </c>
      <c r="F12" s="0" t="n">
        <v>114.32</v>
      </c>
      <c r="G12" s="0" t="n">
        <v>13.49</v>
      </c>
      <c r="H12" s="0" t="n">
        <f aca="false">((1/(G12/100)-1)/5.225)^(-1)</f>
        <v>0.814764189111085</v>
      </c>
      <c r="I12" s="0" t="n">
        <v>0.133</v>
      </c>
      <c r="J12" s="0" t="s">
        <v>88</v>
      </c>
      <c r="K12" s="0" t="n">
        <v>0.63</v>
      </c>
      <c r="L12" s="0" t="s">
        <v>45</v>
      </c>
      <c r="M12" s="0" t="n">
        <v>0.092</v>
      </c>
      <c r="N12" s="0" t="s">
        <v>45</v>
      </c>
      <c r="O12" s="0" t="n">
        <v>0.364</v>
      </c>
      <c r="P12" s="0" t="s">
        <v>45</v>
      </c>
      <c r="Q12" s="0" t="n">
        <v>3065</v>
      </c>
      <c r="R12" s="0" t="n">
        <v>314.1</v>
      </c>
      <c r="S12" s="0" t="s">
        <v>45</v>
      </c>
      <c r="T12" s="0" t="s">
        <v>45</v>
      </c>
      <c r="U12" s="0" t="n">
        <v>5020</v>
      </c>
      <c r="V12" s="0" t="n">
        <f aca="false">SQRT(U12)</f>
        <v>70.8519583356734</v>
      </c>
      <c r="W12" s="0" t="s">
        <v>47</v>
      </c>
      <c r="X12" s="0" t="s">
        <v>89</v>
      </c>
      <c r="Y12" s="0" t="n">
        <v>2.89</v>
      </c>
      <c r="Z12" s="0" t="s">
        <v>45</v>
      </c>
    </row>
    <row r="13" customFormat="false" ht="15" hidden="false" customHeight="false" outlineLevel="0" collapsed="false">
      <c r="A13" s="0" t="n">
        <v>42</v>
      </c>
      <c r="B13" s="0" t="n">
        <v>2.18</v>
      </c>
      <c r="C13" s="0" t="s">
        <v>45</v>
      </c>
      <c r="D13" s="0" t="n">
        <v>15.4</v>
      </c>
      <c r="E13" s="0" t="n">
        <v>99.4</v>
      </c>
      <c r="F13" s="0" t="n">
        <v>114.8</v>
      </c>
      <c r="G13" s="0" t="n">
        <v>13.41</v>
      </c>
      <c r="H13" s="0" t="n">
        <f aca="false">((1/(G13/100)-1)/5.225)^(-1)</f>
        <v>0.809184085922162</v>
      </c>
      <c r="I13" s="0" t="n">
        <v>0.133</v>
      </c>
      <c r="J13" s="0" t="s">
        <v>90</v>
      </c>
      <c r="K13" s="0" t="n">
        <v>0.66</v>
      </c>
      <c r="L13" s="0" t="n">
        <v>0.435</v>
      </c>
      <c r="M13" s="0" t="n">
        <v>0.1</v>
      </c>
      <c r="N13" s="0" t="n">
        <v>0.07</v>
      </c>
      <c r="O13" s="0" t="n">
        <v>0.414</v>
      </c>
      <c r="P13" s="0" t="n">
        <v>0.191</v>
      </c>
      <c r="Q13" s="0" t="n">
        <v>3077</v>
      </c>
      <c r="R13" s="0" t="n">
        <v>277.3</v>
      </c>
      <c r="S13" s="0" t="n">
        <v>599</v>
      </c>
      <c r="T13" s="0" t="n">
        <v>2.16</v>
      </c>
      <c r="U13" s="0" t="n">
        <v>5036</v>
      </c>
      <c r="V13" s="0" t="n">
        <f aca="false">SQRT(U13)</f>
        <v>70.9647799968407</v>
      </c>
      <c r="W13" s="0" t="s">
        <v>47</v>
      </c>
      <c r="X13" s="0" t="s">
        <v>89</v>
      </c>
      <c r="Y13" s="0" t="n">
        <v>3.03</v>
      </c>
      <c r="Z13" s="0" t="n">
        <v>2</v>
      </c>
    </row>
    <row r="14" customFormat="false" ht="15" hidden="false" customHeight="false" outlineLevel="0" collapsed="false">
      <c r="A14" s="0" t="n">
        <v>43</v>
      </c>
      <c r="B14" s="0" t="n">
        <v>2.18</v>
      </c>
      <c r="C14" s="0" t="s">
        <v>45</v>
      </c>
      <c r="D14" s="0" t="n">
        <v>15.6</v>
      </c>
      <c r="E14" s="0" t="n">
        <v>90.75</v>
      </c>
      <c r="F14" s="0" t="n">
        <v>106.35</v>
      </c>
      <c r="G14" s="0" t="n">
        <v>14.67</v>
      </c>
      <c r="H14" s="0" t="n">
        <f aca="false">((1/(G14/100)-1)/5.225)^(-1)</f>
        <v>0.898286065861948</v>
      </c>
      <c r="I14" s="0" t="n">
        <v>0.132</v>
      </c>
      <c r="J14" s="0" t="s">
        <v>90</v>
      </c>
      <c r="K14" s="0" t="n">
        <v>0.643</v>
      </c>
      <c r="L14" s="0" t="n">
        <v>0.42</v>
      </c>
      <c r="M14" s="0" t="n">
        <v>0.097</v>
      </c>
      <c r="N14" s="0" t="n">
        <v>0.066</v>
      </c>
      <c r="O14" s="0" t="n">
        <v>0.392</v>
      </c>
      <c r="P14" s="0" t="n">
        <v>0.174</v>
      </c>
      <c r="Q14" s="0" t="n">
        <v>2848</v>
      </c>
      <c r="R14" s="0" t="n">
        <v>271.5</v>
      </c>
      <c r="S14" s="0" t="n">
        <v>610</v>
      </c>
      <c r="T14" s="0" t="n">
        <v>2.24</v>
      </c>
      <c r="U14" s="0" t="n">
        <v>4711</v>
      </c>
      <c r="V14" s="0" t="n">
        <f aca="false">SQRT(U14)</f>
        <v>68.6367248635889</v>
      </c>
      <c r="W14" s="0" t="s">
        <v>47</v>
      </c>
      <c r="X14" s="0" t="s">
        <v>89</v>
      </c>
      <c r="Y14" s="0" t="n">
        <v>2.95</v>
      </c>
      <c r="Z14" s="0" t="n">
        <v>1.93</v>
      </c>
    </row>
    <row r="15" customFormat="false" ht="15" hidden="false" customHeight="false" outlineLevel="0" collapsed="false">
      <c r="A15" s="0" t="n">
        <v>44</v>
      </c>
      <c r="B15" s="0" t="n">
        <v>2.18</v>
      </c>
      <c r="C15" s="0" t="s">
        <v>45</v>
      </c>
      <c r="D15" s="0" t="n">
        <v>16.33</v>
      </c>
      <c r="E15" s="0" t="n">
        <v>49.25</v>
      </c>
      <c r="F15" s="0" t="n">
        <v>65.58</v>
      </c>
      <c r="G15" s="0" t="n">
        <v>24.9</v>
      </c>
      <c r="H15" s="0" t="n">
        <f aca="false">((1/(G15/100)-1)/5.225)^(-1)</f>
        <v>1.73239014647137</v>
      </c>
      <c r="I15" s="0" t="n">
        <v>0.118</v>
      </c>
      <c r="J15" s="0" t="s">
        <v>90</v>
      </c>
      <c r="K15" s="0" t="n">
        <v>0.715</v>
      </c>
      <c r="L15" s="0" t="n">
        <v>0.49</v>
      </c>
      <c r="M15" s="0" t="n">
        <v>0.095</v>
      </c>
      <c r="N15" s="0" t="n">
        <v>0.072</v>
      </c>
      <c r="O15" s="0" t="n">
        <v>0.427</v>
      </c>
      <c r="P15" s="0" t="n">
        <v>0.222</v>
      </c>
      <c r="Q15" s="0" t="n">
        <v>1760</v>
      </c>
      <c r="R15" s="0" t="n">
        <v>153.6</v>
      </c>
      <c r="S15" s="0" t="n">
        <v>296</v>
      </c>
      <c r="T15" s="0" t="n">
        <v>1.93</v>
      </c>
      <c r="U15" s="0" t="n">
        <v>3250</v>
      </c>
      <c r="V15" s="0" t="n">
        <f aca="false">SQRT(U15)</f>
        <v>57.0087712549569</v>
      </c>
      <c r="W15" s="0" t="s">
        <v>47</v>
      </c>
      <c r="X15" s="0" t="s">
        <v>89</v>
      </c>
      <c r="Y15" s="0" t="n">
        <v>3.28</v>
      </c>
      <c r="Z15" s="0" t="n">
        <v>2.25</v>
      </c>
    </row>
    <row r="16" customFormat="false" ht="15" hidden="false" customHeight="false" outlineLevel="0" collapsed="false">
      <c r="A16" s="0" t="n">
        <v>45</v>
      </c>
      <c r="B16" s="0" t="n">
        <v>2.18</v>
      </c>
      <c r="C16" s="0" t="s">
        <v>45</v>
      </c>
      <c r="D16" s="0" t="n">
        <v>17.8</v>
      </c>
      <c r="E16" s="0" t="n">
        <v>41.15</v>
      </c>
      <c r="F16" s="0" t="n">
        <v>58.95</v>
      </c>
      <c r="G16" s="0" t="n">
        <v>30.15</v>
      </c>
      <c r="H16" s="0" t="n">
        <f aca="false">((1/(G16/100)-1)/5.225)^(-1)</f>
        <v>2.25531496062992</v>
      </c>
      <c r="I16" s="0" t="n">
        <v>0.112</v>
      </c>
      <c r="J16" s="0" t="s">
        <v>90</v>
      </c>
      <c r="K16" s="0" t="n">
        <v>1.59</v>
      </c>
      <c r="L16" s="0" t="n">
        <v>1.03</v>
      </c>
      <c r="M16" s="0" t="n">
        <v>0.108</v>
      </c>
      <c r="N16" s="0" t="n">
        <v>0.072</v>
      </c>
      <c r="O16" s="0" t="n">
        <v>1.08</v>
      </c>
      <c r="P16" s="0" t="n">
        <v>0.466</v>
      </c>
      <c r="Q16" s="0" t="n">
        <v>1580</v>
      </c>
      <c r="R16" s="0" t="n">
        <v>54.7</v>
      </c>
      <c r="S16" s="0" t="n">
        <v>126.6</v>
      </c>
      <c r="T16" s="0" t="n">
        <v>2.31</v>
      </c>
      <c r="U16" s="0" t="n">
        <v>3075</v>
      </c>
      <c r="V16" s="0" t="n">
        <f aca="false">SQRT(U16)</f>
        <v>55.4526825320471</v>
      </c>
      <c r="W16" s="0" t="s">
        <v>47</v>
      </c>
      <c r="X16" s="0" t="s">
        <v>89</v>
      </c>
      <c r="Y16" s="0" t="n">
        <v>7.29</v>
      </c>
      <c r="Z16" s="0" t="n">
        <v>4.72</v>
      </c>
    </row>
    <row r="17" s="1" customFormat="true" ht="15" hidden="false" customHeight="false" outlineLevel="0" collapsed="false">
      <c r="A17" s="1" t="n">
        <v>46</v>
      </c>
      <c r="B17" s="1" t="n">
        <v>2.18</v>
      </c>
      <c r="C17" s="1" t="s">
        <v>45</v>
      </c>
      <c r="D17" s="1" t="n">
        <v>6.33</v>
      </c>
      <c r="E17" s="1" t="n">
        <v>15.15</v>
      </c>
      <c r="F17" s="1" t="n">
        <v>21.48</v>
      </c>
      <c r="G17" s="1" t="n">
        <v>29.46</v>
      </c>
      <c r="H17" s="1" t="n">
        <f aca="false">((1/(G17/100)-1)/5.225)^(-1)</f>
        <v>2.18214488233626</v>
      </c>
      <c r="I17" s="1" t="n">
        <v>0.113</v>
      </c>
      <c r="J17" s="1" t="s">
        <v>90</v>
      </c>
      <c r="K17" s="1" t="n">
        <v>0.67</v>
      </c>
      <c r="L17" s="1" t="n">
        <v>0.648</v>
      </c>
      <c r="M17" s="1" t="n">
        <v>0.067</v>
      </c>
      <c r="N17" s="1" t="n">
        <v>0.055</v>
      </c>
      <c r="O17" s="1" t="n">
        <v>0.282</v>
      </c>
      <c r="P17" s="1" t="n">
        <v>0.244</v>
      </c>
      <c r="Q17" s="1" t="n">
        <v>576</v>
      </c>
      <c r="R17" s="1" t="n">
        <v>76.2</v>
      </c>
      <c r="S17" s="1" t="n">
        <v>96</v>
      </c>
      <c r="T17" s="1" t="n">
        <v>1.26</v>
      </c>
      <c r="U17" s="1" t="n">
        <v>1116</v>
      </c>
      <c r="V17" s="1" t="n">
        <f aca="false">SQRT(U17)</f>
        <v>33.4065861769801</v>
      </c>
      <c r="W17" s="1" t="s">
        <v>89</v>
      </c>
      <c r="X17" s="1" t="s">
        <v>47</v>
      </c>
      <c r="Y17" s="1" t="n">
        <v>3.07</v>
      </c>
      <c r="Z17" s="1" t="n">
        <v>2.97</v>
      </c>
    </row>
    <row r="18" s="1" customFormat="true" ht="15" hidden="false" customHeight="false" outlineLevel="0" collapsed="false">
      <c r="A18" s="1" t="n">
        <v>47</v>
      </c>
      <c r="B18" s="1" t="n">
        <v>2.18</v>
      </c>
      <c r="C18" s="1" t="s">
        <v>45</v>
      </c>
      <c r="D18" s="1" t="n">
        <v>6.56</v>
      </c>
      <c r="E18" s="1" t="n">
        <v>17.23</v>
      </c>
      <c r="F18" s="1" t="n">
        <v>23.79</v>
      </c>
      <c r="G18" s="1" t="n">
        <v>27.57</v>
      </c>
      <c r="H18" s="1" t="n">
        <f aca="false">((1/(G18/100)-1)/5.225)^(-1)</f>
        <v>1.98886165953334</v>
      </c>
      <c r="I18" s="1" t="n">
        <v>0.115</v>
      </c>
      <c r="J18" s="1" t="s">
        <v>90</v>
      </c>
      <c r="K18" s="1" t="n">
        <v>0.578</v>
      </c>
      <c r="L18" s="1" t="n">
        <v>0.57</v>
      </c>
      <c r="M18" s="1" t="n">
        <v>0.065</v>
      </c>
      <c r="N18" s="1" t="n">
        <v>0.052</v>
      </c>
      <c r="O18" s="1" t="n">
        <v>0.256</v>
      </c>
      <c r="P18" s="1" t="n">
        <v>0.186</v>
      </c>
      <c r="Q18" s="1" t="n">
        <v>638</v>
      </c>
      <c r="R18" s="1" t="n">
        <v>100.8</v>
      </c>
      <c r="S18" s="1" t="n">
        <v>128</v>
      </c>
      <c r="T18" s="1" t="n">
        <v>1.27</v>
      </c>
      <c r="U18" s="1" t="n">
        <v>1209</v>
      </c>
      <c r="V18" s="1" t="n">
        <f aca="false">SQRT(U18)</f>
        <v>34.7706773014274</v>
      </c>
      <c r="W18" s="1" t="s">
        <v>89</v>
      </c>
      <c r="X18" s="1" t="s">
        <v>47</v>
      </c>
      <c r="Y18" s="1" t="n">
        <v>2.65</v>
      </c>
      <c r="Z18" s="1" t="n">
        <v>2.61</v>
      </c>
    </row>
    <row r="19" s="1" customFormat="true" ht="15" hidden="false" customHeight="false" outlineLevel="0" collapsed="false">
      <c r="A19" s="1" t="n">
        <v>48</v>
      </c>
      <c r="B19" s="1" t="n">
        <v>2.18</v>
      </c>
      <c r="C19" s="1" t="s">
        <v>45</v>
      </c>
      <c r="D19" s="1" t="n">
        <v>4.82</v>
      </c>
      <c r="E19" s="1" t="n">
        <v>13.7</v>
      </c>
      <c r="F19" s="1" t="n">
        <v>18.52</v>
      </c>
      <c r="G19" s="1" t="n">
        <v>26.01</v>
      </c>
      <c r="H19" s="1" t="n">
        <f aca="false">((1/(G19/100)-1)/5.225)^(-1)</f>
        <v>1.83676510339235</v>
      </c>
      <c r="I19" s="1" t="n">
        <v>0.117</v>
      </c>
      <c r="J19" s="1" t="s">
        <v>90</v>
      </c>
      <c r="K19" s="1" t="n">
        <v>0.333</v>
      </c>
      <c r="L19" s="1" t="n">
        <v>0.32</v>
      </c>
      <c r="M19" s="1" t="n">
        <v>0.061</v>
      </c>
      <c r="N19" s="1" t="n">
        <v>0.055</v>
      </c>
      <c r="O19" s="1" t="n">
        <v>0.127</v>
      </c>
      <c r="P19" s="1" t="n">
        <v>0.11</v>
      </c>
      <c r="Q19" s="1" t="n">
        <v>497</v>
      </c>
      <c r="R19" s="1" t="n">
        <v>145.2</v>
      </c>
      <c r="S19" s="1" t="n">
        <v>167.5</v>
      </c>
      <c r="T19" s="1" t="n">
        <v>1.15</v>
      </c>
      <c r="U19" s="1" t="n">
        <v>925</v>
      </c>
      <c r="V19" s="1" t="n">
        <f aca="false">SQRT(U19)</f>
        <v>30.4138126514911</v>
      </c>
      <c r="W19" s="1" t="s">
        <v>89</v>
      </c>
      <c r="X19" s="1" t="s">
        <v>47</v>
      </c>
      <c r="Y19" s="1" t="n">
        <v>1.53</v>
      </c>
      <c r="Z19" s="1" t="n">
        <v>1.47</v>
      </c>
    </row>
    <row r="20" customFormat="false" ht="15" hidden="false" customHeight="false" outlineLevel="0" collapsed="false">
      <c r="A20" s="0" t="n">
        <v>54</v>
      </c>
      <c r="B20" s="0" t="n">
        <v>2.72</v>
      </c>
      <c r="C20" s="0" t="s">
        <v>45</v>
      </c>
      <c r="D20" s="0" t="n">
        <v>85.5</v>
      </c>
      <c r="E20" s="0" t="n">
        <v>231.8</v>
      </c>
      <c r="F20" s="0" t="n">
        <v>317.3</v>
      </c>
      <c r="G20" s="0" t="n">
        <v>26.95</v>
      </c>
      <c r="H20" s="0" t="n">
        <f aca="false">((1/(G20/100)-1)/5.225)^(-1)</f>
        <v>1.92763518138261</v>
      </c>
      <c r="I20" s="0" t="n">
        <v>0.116</v>
      </c>
      <c r="J20" s="0" t="s">
        <v>90</v>
      </c>
      <c r="K20" s="0" t="n">
        <v>2.05</v>
      </c>
      <c r="L20" s="0" t="n">
        <v>1.193</v>
      </c>
      <c r="M20" s="0" t="n">
        <v>0.194</v>
      </c>
      <c r="N20" s="0" t="n">
        <v>0.11</v>
      </c>
      <c r="O20" s="0" t="n">
        <v>2.5</v>
      </c>
      <c r="P20" s="0" t="n">
        <v>0.825</v>
      </c>
      <c r="Q20" s="0" t="n">
        <v>5470</v>
      </c>
      <c r="R20" s="0" t="n">
        <v>127</v>
      </c>
      <c r="S20" s="0" t="n">
        <v>385</v>
      </c>
      <c r="T20" s="0" t="n">
        <v>3.03</v>
      </c>
      <c r="U20" s="0" t="n">
        <v>12850</v>
      </c>
      <c r="V20" s="0" t="n">
        <f aca="false">SQRT(U20)</f>
        <v>113.357840487546</v>
      </c>
      <c r="W20" s="0" t="s">
        <v>47</v>
      </c>
      <c r="X20" s="0" t="s">
        <v>89</v>
      </c>
      <c r="Y20" s="0" t="n">
        <v>7.53</v>
      </c>
      <c r="Z20" s="0" t="n">
        <v>4.39</v>
      </c>
    </row>
    <row r="21" customFormat="false" ht="15" hidden="false" customHeight="false" outlineLevel="0" collapsed="false">
      <c r="A21" s="0" t="n">
        <v>55</v>
      </c>
      <c r="B21" s="0" t="n">
        <v>2.72</v>
      </c>
      <c r="C21" s="0" t="s">
        <v>45</v>
      </c>
      <c r="D21" s="0" t="n">
        <v>86.5</v>
      </c>
      <c r="E21" s="0" t="n">
        <v>328.7</v>
      </c>
      <c r="F21" s="0" t="n">
        <v>415.2</v>
      </c>
      <c r="G21" s="0" t="n">
        <v>20.83</v>
      </c>
      <c r="H21" s="0" t="n">
        <f aca="false">((1/(G21/100)-1)/5.225)^(-1)</f>
        <v>1.3747221169635</v>
      </c>
      <c r="I21" s="0" t="n">
        <v>0.123</v>
      </c>
      <c r="J21" s="0" t="s">
        <v>90</v>
      </c>
      <c r="K21" s="0" t="n">
        <v>1.5</v>
      </c>
      <c r="L21" s="0" t="n">
        <v>0.883</v>
      </c>
      <c r="M21" s="0" t="n">
        <v>0.186</v>
      </c>
      <c r="N21" s="0" t="n">
        <v>0.103</v>
      </c>
      <c r="O21" s="0" t="n">
        <v>1.754</v>
      </c>
      <c r="P21" s="0" t="n">
        <v>0.572</v>
      </c>
      <c r="Q21" s="0" t="n">
        <v>7150</v>
      </c>
      <c r="R21" s="0" t="n">
        <v>237</v>
      </c>
      <c r="S21" s="0" t="n">
        <v>725.9</v>
      </c>
      <c r="T21" s="0" t="n">
        <v>3.06</v>
      </c>
      <c r="U21" s="0" t="n">
        <v>15790</v>
      </c>
      <c r="V21" s="0" t="n">
        <f aca="false">SQRT(U21)</f>
        <v>125.658266739598</v>
      </c>
      <c r="W21" s="0" t="s">
        <v>47</v>
      </c>
      <c r="X21" s="0" t="s">
        <v>89</v>
      </c>
      <c r="Y21" s="0" t="n">
        <v>5.51</v>
      </c>
      <c r="Z21" s="0" t="n">
        <v>3.25</v>
      </c>
    </row>
    <row r="22" customFormat="false" ht="15" hidden="false" customHeight="false" outlineLevel="0" collapsed="false">
      <c r="A22" s="0" t="n">
        <v>56</v>
      </c>
      <c r="B22" s="0" t="n">
        <v>2.72</v>
      </c>
      <c r="C22" s="0" t="s">
        <v>45</v>
      </c>
      <c r="D22" s="0" t="n">
        <v>87.4</v>
      </c>
      <c r="E22" s="0" t="n">
        <v>359.1</v>
      </c>
      <c r="F22" s="0" t="n">
        <v>446.5</v>
      </c>
      <c r="G22" s="0" t="n">
        <v>19.57</v>
      </c>
      <c r="H22" s="0" t="n">
        <f aca="false">((1/(G22/100)-1)/5.225)^(-1)</f>
        <v>1.27133221434788</v>
      </c>
      <c r="I22" s="0" t="n">
        <v>0.125</v>
      </c>
      <c r="J22" s="0" t="s">
        <v>90</v>
      </c>
      <c r="K22" s="0" t="n">
        <v>1.386</v>
      </c>
      <c r="L22" s="0" t="n">
        <v>0.815</v>
      </c>
      <c r="M22" s="0" t="n">
        <v>0.181</v>
      </c>
      <c r="N22" s="0" t="n">
        <v>0.086</v>
      </c>
      <c r="O22" s="0" t="n">
        <v>1.576</v>
      </c>
      <c r="P22" s="0" t="n">
        <v>0.441</v>
      </c>
      <c r="Q22" s="0" t="n">
        <v>7690</v>
      </c>
      <c r="R22" s="0" t="n">
        <v>283</v>
      </c>
      <c r="S22" s="0" t="n">
        <v>1011</v>
      </c>
      <c r="T22" s="0" t="n">
        <v>3.58</v>
      </c>
      <c r="U22" s="0" t="n">
        <v>16700</v>
      </c>
      <c r="V22" s="0" t="n">
        <f aca="false">SQRT(U22)</f>
        <v>129.228479833201</v>
      </c>
      <c r="W22" s="0" t="s">
        <v>47</v>
      </c>
      <c r="X22" s="0" t="s">
        <v>89</v>
      </c>
      <c r="Y22" s="0" t="n">
        <v>5.1</v>
      </c>
      <c r="Z22" s="0" t="n">
        <v>3</v>
      </c>
    </row>
    <row r="23" customFormat="false" ht="15" hidden="false" customHeight="false" outlineLevel="0" collapsed="false">
      <c r="A23" s="0" t="n">
        <v>57</v>
      </c>
      <c r="B23" s="0" t="n">
        <v>2.72</v>
      </c>
      <c r="C23" s="0" t="s">
        <v>45</v>
      </c>
      <c r="D23" s="0" t="n">
        <v>89.3</v>
      </c>
      <c r="E23" s="0" t="n">
        <v>374.3</v>
      </c>
      <c r="F23" s="0" t="n">
        <v>463.6</v>
      </c>
      <c r="G23" s="0" t="n">
        <v>19.26</v>
      </c>
      <c r="H23" s="0" t="n">
        <f aca="false">((1/(G23/100)-1)/5.225)^(-1)</f>
        <v>1.24638964577657</v>
      </c>
      <c r="I23" s="0" t="n">
        <v>0.126</v>
      </c>
      <c r="J23" s="0" t="s">
        <v>90</v>
      </c>
      <c r="K23" s="0" t="n">
        <v>1.413</v>
      </c>
      <c r="L23" s="0" t="n">
        <v>0.8</v>
      </c>
      <c r="M23" s="0" t="n">
        <v>0.18</v>
      </c>
      <c r="N23" s="0" t="n">
        <v>0.088</v>
      </c>
      <c r="O23" s="0" t="n">
        <v>1.598</v>
      </c>
      <c r="P23" s="0" t="n">
        <v>0.443</v>
      </c>
      <c r="Q23" s="0" t="n">
        <v>7990</v>
      </c>
      <c r="R23" s="0" t="n">
        <v>290.1</v>
      </c>
      <c r="S23" s="0" t="n">
        <v>1046</v>
      </c>
      <c r="T23" s="0" t="n">
        <v>3.61</v>
      </c>
      <c r="U23" s="0" t="n">
        <v>17300</v>
      </c>
      <c r="V23" s="0" t="n">
        <f aca="false">SQRT(U23)</f>
        <v>131.529464379659</v>
      </c>
      <c r="W23" s="0" t="s">
        <v>47</v>
      </c>
      <c r="X23" s="0" t="s">
        <v>89</v>
      </c>
      <c r="Y23" s="0" t="n">
        <v>5.2</v>
      </c>
      <c r="Z23" s="0" t="n">
        <v>2.94</v>
      </c>
    </row>
    <row r="28" customFormat="false" ht="15" hidden="false" customHeight="false" outlineLevel="0" collapsed="false">
      <c r="G28" s="4"/>
      <c r="H28" s="2" t="s">
        <v>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2" activeCellId="0" sqref="O12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92</v>
      </c>
    </row>
    <row r="2" customFormat="false" ht="15" hidden="false" customHeight="false" outlineLevel="0" collapsed="false">
      <c r="A2" s="0" t="s">
        <v>41</v>
      </c>
      <c r="B2" s="0" t="s">
        <v>93</v>
      </c>
      <c r="C2" s="0" t="s">
        <v>42</v>
      </c>
      <c r="D2" s="0" t="s">
        <v>94</v>
      </c>
      <c r="E2" s="0" t="s">
        <v>95</v>
      </c>
    </row>
    <row r="3" customFormat="false" ht="15" hidden="false" customHeight="false" outlineLevel="0" collapsed="false">
      <c r="A3" s="0" t="n">
        <v>0</v>
      </c>
      <c r="B3" s="0" t="n">
        <v>4000</v>
      </c>
      <c r="C3" s="0" t="n">
        <v>0.161</v>
      </c>
      <c r="D3" s="0" t="n">
        <v>2</v>
      </c>
      <c r="E3" s="0" t="n">
        <v>1.41</v>
      </c>
    </row>
    <row r="4" customFormat="false" ht="15" hidden="false" customHeight="false" outlineLevel="0" collapsed="false">
      <c r="A4" s="0" t="n">
        <v>0.1</v>
      </c>
      <c r="B4" s="0" t="n">
        <v>4000</v>
      </c>
      <c r="C4" s="0" t="n">
        <v>0.159</v>
      </c>
      <c r="D4" s="0" t="n">
        <v>7.1</v>
      </c>
      <c r="E4" s="0" t="n">
        <v>2.66</v>
      </c>
    </row>
    <row r="5" customFormat="false" ht="15" hidden="false" customHeight="false" outlineLevel="0" collapsed="false">
      <c r="A5" s="0" t="n">
        <v>0.2</v>
      </c>
      <c r="B5" s="0" t="n">
        <v>4000</v>
      </c>
      <c r="C5" s="0" t="n">
        <v>0.152</v>
      </c>
      <c r="D5" s="0" t="n">
        <v>9.9</v>
      </c>
      <c r="E5" s="0" t="n">
        <v>3.14</v>
      </c>
    </row>
    <row r="6" customFormat="false" ht="15" hidden="false" customHeight="false" outlineLevel="0" collapsed="false">
      <c r="A6" s="0" t="n">
        <v>0.3</v>
      </c>
      <c r="B6" s="0" t="n">
        <v>4000</v>
      </c>
      <c r="C6" s="0" t="n">
        <v>0.149</v>
      </c>
      <c r="D6" s="0" t="n">
        <v>11.5</v>
      </c>
      <c r="E6" s="0" t="n">
        <v>3.4</v>
      </c>
    </row>
    <row r="7" customFormat="false" ht="15" hidden="false" customHeight="false" outlineLevel="0" collapsed="false">
      <c r="A7" s="0" t="n">
        <v>0.4</v>
      </c>
      <c r="B7" s="0" t="n">
        <v>4000</v>
      </c>
      <c r="C7" s="0" t="n">
        <v>0.142</v>
      </c>
      <c r="D7" s="0" t="n">
        <v>12.7</v>
      </c>
      <c r="E7" s="0" t="n">
        <v>3.56</v>
      </c>
    </row>
    <row r="8" customFormat="false" ht="15" hidden="false" customHeight="false" outlineLevel="0" collapsed="false">
      <c r="A8" s="0" t="n">
        <v>0.5</v>
      </c>
      <c r="B8" s="0" t="n">
        <v>4000</v>
      </c>
      <c r="C8" s="0" t="n">
        <v>0.132</v>
      </c>
      <c r="D8" s="0" t="n">
        <v>13.1</v>
      </c>
      <c r="E8" s="0" t="n">
        <v>3.63</v>
      </c>
    </row>
    <row r="9" customFormat="false" ht="15" hidden="false" customHeight="false" outlineLevel="0" collapsed="false">
      <c r="A9" s="0" t="n">
        <v>0.6</v>
      </c>
      <c r="B9" s="0" t="n">
        <v>4000</v>
      </c>
      <c r="C9" s="0" t="n">
        <v>0.118</v>
      </c>
      <c r="D9" s="0" t="n">
        <v>12.9</v>
      </c>
      <c r="E9" s="0" t="n">
        <v>3.59</v>
      </c>
    </row>
    <row r="10" customFormat="false" ht="15" hidden="false" customHeight="false" outlineLevel="0" collapsed="false">
      <c r="A10" s="0" t="n">
        <v>0.7</v>
      </c>
      <c r="B10" s="0" t="n">
        <v>4000</v>
      </c>
      <c r="C10" s="0" t="n">
        <v>0.1</v>
      </c>
      <c r="D10" s="0" t="n">
        <v>11.8</v>
      </c>
      <c r="E10" s="0" t="n">
        <v>3.43</v>
      </c>
    </row>
    <row r="11" customFormat="false" ht="15" hidden="false" customHeight="false" outlineLevel="0" collapsed="false">
      <c r="A11" s="0" t="n">
        <v>0.8</v>
      </c>
      <c r="B11" s="0" t="n">
        <v>4000</v>
      </c>
      <c r="C11" s="0" t="n">
        <v>0.076</v>
      </c>
      <c r="D11" s="0" t="n">
        <v>9.6</v>
      </c>
      <c r="E11" s="0" t="n">
        <v>3.09</v>
      </c>
    </row>
    <row r="12" customFormat="false" ht="15" hidden="false" customHeight="false" outlineLevel="0" collapsed="false">
      <c r="A12" s="0" t="n">
        <v>0.9</v>
      </c>
      <c r="B12" s="0" t="n">
        <v>4000</v>
      </c>
      <c r="C12" s="0" t="n">
        <v>0.046</v>
      </c>
      <c r="D12" s="0" t="n">
        <v>6.2</v>
      </c>
      <c r="E12" s="0" t="n">
        <v>2.48</v>
      </c>
    </row>
    <row r="13" customFormat="false" ht="15" hidden="false" customHeight="false" outlineLevel="0" collapsed="false">
      <c r="A13" s="0" t="n">
        <v>1</v>
      </c>
      <c r="B13" s="0" t="n">
        <v>4000</v>
      </c>
      <c r="C13" s="0" t="n">
        <v>0</v>
      </c>
      <c r="D13" s="0" t="n">
        <v>1</v>
      </c>
      <c r="E13" s="0" t="n">
        <v>1</v>
      </c>
    </row>
    <row r="14" customFormat="false" ht="15" hidden="false" customHeight="false" outlineLevel="0" collapsed="false">
      <c r="A14" s="0" t="n">
        <v>0</v>
      </c>
      <c r="B14" s="0" t="n">
        <v>6100</v>
      </c>
      <c r="C14" s="0" t="n">
        <v>0.157</v>
      </c>
      <c r="D14" s="0" t="n">
        <v>2</v>
      </c>
      <c r="E14" s="0" t="n">
        <v>1.41</v>
      </c>
    </row>
    <row r="15" customFormat="false" ht="15" hidden="false" customHeight="false" outlineLevel="0" collapsed="false">
      <c r="A15" s="0" t="n">
        <v>0.1</v>
      </c>
      <c r="B15" s="0" t="n">
        <v>6100</v>
      </c>
      <c r="C15" s="0" t="n">
        <v>0.156</v>
      </c>
      <c r="D15" s="0" t="n">
        <v>10.1</v>
      </c>
      <c r="E15" s="0" t="n">
        <v>3.17</v>
      </c>
    </row>
    <row r="16" customFormat="false" ht="15" hidden="false" customHeight="false" outlineLevel="0" collapsed="false">
      <c r="A16" s="0" t="n">
        <v>0.2</v>
      </c>
      <c r="B16" s="0" t="n">
        <v>6100</v>
      </c>
      <c r="C16" s="0" t="n">
        <v>0.152</v>
      </c>
      <c r="D16" s="0" t="n">
        <v>13.8</v>
      </c>
      <c r="E16" s="0" t="n">
        <v>3.72</v>
      </c>
    </row>
    <row r="17" customFormat="false" ht="15" hidden="false" customHeight="false" outlineLevel="0" collapsed="false">
      <c r="A17" s="0" t="n">
        <v>0.3</v>
      </c>
      <c r="B17" s="0" t="n">
        <v>6100</v>
      </c>
      <c r="C17" s="0" t="n">
        <v>0.145</v>
      </c>
      <c r="D17" s="0" t="n">
        <v>16.2</v>
      </c>
      <c r="E17" s="0" t="n">
        <v>4.03</v>
      </c>
    </row>
    <row r="18" customFormat="false" ht="15" hidden="false" customHeight="false" outlineLevel="0" collapsed="false">
      <c r="A18" s="0" t="n">
        <v>0.4</v>
      </c>
      <c r="B18" s="0" t="n">
        <v>6100</v>
      </c>
      <c r="C18" s="0" t="n">
        <v>0.137</v>
      </c>
      <c r="D18" s="0" t="n">
        <v>17.9</v>
      </c>
      <c r="E18" s="0" t="n">
        <v>4.23</v>
      </c>
    </row>
    <row r="19" customFormat="false" ht="15" hidden="false" customHeight="false" outlineLevel="0" collapsed="false">
      <c r="A19" s="0" t="n">
        <v>0.5</v>
      </c>
      <c r="B19" s="0" t="n">
        <v>6100</v>
      </c>
      <c r="C19" s="0" t="n">
        <v>0.13</v>
      </c>
      <c r="D19" s="0" t="n">
        <v>18.7</v>
      </c>
      <c r="E19" s="0" t="n">
        <v>4.32</v>
      </c>
    </row>
    <row r="20" customFormat="false" ht="15" hidden="false" customHeight="false" outlineLevel="0" collapsed="false">
      <c r="A20" s="0" t="n">
        <v>0.6</v>
      </c>
      <c r="B20" s="0" t="n">
        <v>6100</v>
      </c>
      <c r="C20" s="0" t="n">
        <v>0.116</v>
      </c>
      <c r="D20" s="0" t="n">
        <v>18.2</v>
      </c>
      <c r="E20" s="0" t="n">
        <v>4.27</v>
      </c>
    </row>
    <row r="21" customFormat="false" ht="15" hidden="false" customHeight="false" outlineLevel="0" collapsed="false">
      <c r="A21" s="0" t="n">
        <v>0.7</v>
      </c>
      <c r="B21" s="0" t="n">
        <v>6100</v>
      </c>
      <c r="C21" s="0" t="n">
        <v>0.098</v>
      </c>
      <c r="D21" s="0" t="n">
        <v>16.7</v>
      </c>
      <c r="E21" s="0" t="n">
        <v>4.08</v>
      </c>
    </row>
    <row r="22" customFormat="false" ht="15" hidden="false" customHeight="false" outlineLevel="0" collapsed="false">
      <c r="A22" s="0" t="n">
        <v>0.8</v>
      </c>
      <c r="B22" s="0" t="n">
        <v>6100</v>
      </c>
      <c r="C22" s="0" t="n">
        <v>0.075</v>
      </c>
      <c r="D22" s="0" t="n">
        <v>13.7</v>
      </c>
      <c r="E22" s="0" t="n">
        <v>3.7</v>
      </c>
    </row>
    <row r="23" customFormat="false" ht="15" hidden="false" customHeight="false" outlineLevel="0" collapsed="false">
      <c r="A23" s="0" t="n">
        <v>0.9</v>
      </c>
      <c r="B23" s="0" t="n">
        <v>6100</v>
      </c>
      <c r="C23" s="0" t="n">
        <v>0.045</v>
      </c>
      <c r="D23" s="0" t="n">
        <v>8.6</v>
      </c>
      <c r="E23" s="0" t="n">
        <v>2.94</v>
      </c>
    </row>
    <row r="24" customFormat="false" ht="15" hidden="false" customHeight="false" outlineLevel="0" collapsed="false">
      <c r="A24" s="0" t="n">
        <v>1</v>
      </c>
      <c r="B24" s="0" t="n">
        <v>6100</v>
      </c>
      <c r="C24" s="0" t="n">
        <v>0</v>
      </c>
      <c r="D24" s="0" t="n">
        <v>1</v>
      </c>
      <c r="E24" s="0" t="n">
        <v>1</v>
      </c>
    </row>
    <row r="25" customFormat="false" ht="15" hidden="false" customHeight="false" outlineLevel="0" collapsed="false">
      <c r="A25" s="0" t="n">
        <v>0</v>
      </c>
      <c r="B25" s="0" t="n">
        <v>16700</v>
      </c>
      <c r="C25" s="0" t="n">
        <v>0.154</v>
      </c>
      <c r="D25" s="0" t="n">
        <v>2</v>
      </c>
      <c r="E25" s="0" t="n">
        <v>1.41</v>
      </c>
    </row>
    <row r="26" customFormat="false" ht="15" hidden="false" customHeight="false" outlineLevel="0" collapsed="false">
      <c r="A26" s="0" t="n">
        <v>0.1</v>
      </c>
      <c r="B26" s="0" t="n">
        <v>16700</v>
      </c>
      <c r="C26" s="0" t="n">
        <v>0.145</v>
      </c>
      <c r="D26" s="0" t="n">
        <v>22.1</v>
      </c>
      <c r="E26" s="0" t="n">
        <v>4.7</v>
      </c>
    </row>
    <row r="27" customFormat="false" ht="15" hidden="false" customHeight="false" outlineLevel="0" collapsed="false">
      <c r="A27" s="0" t="n">
        <v>0.2</v>
      </c>
      <c r="B27" s="0" t="n">
        <v>16700</v>
      </c>
      <c r="C27" s="0" t="n">
        <v>0.143</v>
      </c>
      <c r="D27" s="0" t="n">
        <v>30.9</v>
      </c>
      <c r="E27" s="0" t="n">
        <v>5.56</v>
      </c>
    </row>
    <row r="28" customFormat="false" ht="15" hidden="false" customHeight="false" outlineLevel="0" collapsed="false">
      <c r="A28" s="0" t="n">
        <v>0.3</v>
      </c>
      <c r="B28" s="0" t="n">
        <v>16700</v>
      </c>
      <c r="C28" s="0" t="n">
        <v>0.14</v>
      </c>
      <c r="D28" s="0" t="n">
        <v>37</v>
      </c>
      <c r="E28" s="0" t="n">
        <v>6.08</v>
      </c>
    </row>
    <row r="29" customFormat="false" ht="15" hidden="false" customHeight="false" outlineLevel="0" collapsed="false">
      <c r="A29" s="0" t="n">
        <v>0.4</v>
      </c>
      <c r="B29" s="0" t="n">
        <v>16700</v>
      </c>
      <c r="C29" s="0" t="n">
        <v>0.13</v>
      </c>
      <c r="D29" s="0" t="n">
        <v>39.8</v>
      </c>
      <c r="E29" s="0" t="n">
        <v>6.31</v>
      </c>
    </row>
    <row r="30" customFormat="false" ht="15" hidden="false" customHeight="false" outlineLevel="0" collapsed="false">
      <c r="A30" s="0" t="n">
        <v>0.5</v>
      </c>
      <c r="B30" s="0" t="n">
        <v>16700</v>
      </c>
      <c r="C30" s="0" t="n">
        <v>0.122</v>
      </c>
      <c r="D30" s="0" t="n">
        <v>42.2</v>
      </c>
      <c r="E30" s="0" t="n">
        <v>6.5</v>
      </c>
    </row>
    <row r="31" customFormat="false" ht="15" hidden="false" customHeight="false" outlineLevel="0" collapsed="false">
      <c r="A31" s="0" t="n">
        <v>0.6</v>
      </c>
      <c r="B31" s="0" t="n">
        <v>16700</v>
      </c>
      <c r="C31" s="0" t="n">
        <v>0.112</v>
      </c>
      <c r="D31" s="0" t="n">
        <v>41.9</v>
      </c>
      <c r="E31" s="0" t="n">
        <v>6.47</v>
      </c>
    </row>
    <row r="32" customFormat="false" ht="15" hidden="false" customHeight="false" outlineLevel="0" collapsed="false">
      <c r="A32" s="0" t="n">
        <v>0.7</v>
      </c>
      <c r="B32" s="0" t="n">
        <v>16700</v>
      </c>
      <c r="C32" s="0" t="n">
        <v>0.096</v>
      </c>
      <c r="D32" s="0" t="n">
        <v>38.8</v>
      </c>
      <c r="E32" s="0" t="n">
        <v>6.23</v>
      </c>
    </row>
    <row r="33" customFormat="false" ht="15" hidden="false" customHeight="false" outlineLevel="0" collapsed="false">
      <c r="A33" s="0" t="n">
        <v>0.8</v>
      </c>
      <c r="B33" s="0" t="n">
        <v>16700</v>
      </c>
      <c r="C33" s="0" t="n">
        <v>0.072</v>
      </c>
      <c r="D33" s="0" t="n">
        <v>31.2</v>
      </c>
      <c r="E33" s="0" t="n">
        <v>5.59</v>
      </c>
    </row>
    <row r="34" customFormat="false" ht="15" hidden="false" customHeight="false" outlineLevel="0" collapsed="false">
      <c r="A34" s="0" t="n">
        <v>0.9</v>
      </c>
      <c r="B34" s="0" t="n">
        <v>16700</v>
      </c>
      <c r="C34" s="0" t="n">
        <v>0.043</v>
      </c>
      <c r="D34" s="0" t="n">
        <v>19.8</v>
      </c>
      <c r="E34" s="0" t="n">
        <v>4.45</v>
      </c>
    </row>
    <row r="35" customFormat="false" ht="15" hidden="false" customHeight="false" outlineLevel="0" collapsed="false">
      <c r="A35" s="0" t="n">
        <v>1</v>
      </c>
      <c r="B35" s="0" t="n">
        <v>16700</v>
      </c>
      <c r="C35" s="0" t="n">
        <v>0</v>
      </c>
      <c r="D35" s="0" t="n">
        <v>1</v>
      </c>
      <c r="E35" s="0" t="n">
        <v>1</v>
      </c>
    </row>
    <row r="36" customFormat="false" ht="15" hidden="false" customHeight="false" outlineLevel="0" collapsed="false">
      <c r="A36" s="0" t="n">
        <v>0</v>
      </c>
      <c r="B36" s="0" t="n">
        <v>23300</v>
      </c>
      <c r="C36" s="0" t="n">
        <v>0.148</v>
      </c>
      <c r="D36" s="0" t="n">
        <v>2</v>
      </c>
      <c r="E36" s="0" t="n">
        <v>1.41</v>
      </c>
    </row>
    <row r="37" customFormat="false" ht="15" hidden="false" customHeight="false" outlineLevel="0" collapsed="false">
      <c r="A37" s="0" t="n">
        <v>0.1</v>
      </c>
      <c r="B37" s="0" t="n">
        <v>23300</v>
      </c>
      <c r="C37" s="0" t="n">
        <v>0.144</v>
      </c>
      <c r="D37" s="0" t="n">
        <v>29.4</v>
      </c>
      <c r="E37" s="0" t="n">
        <v>5.42</v>
      </c>
    </row>
    <row r="38" customFormat="false" ht="15" hidden="false" customHeight="false" outlineLevel="0" collapsed="false">
      <c r="A38" s="0" t="n">
        <v>0.2</v>
      </c>
      <c r="B38" s="0" t="n">
        <v>23300</v>
      </c>
      <c r="C38" s="0" t="n">
        <v>0.143</v>
      </c>
      <c r="D38" s="0" t="n">
        <v>41.2</v>
      </c>
      <c r="E38" s="0" t="n">
        <v>6.42</v>
      </c>
    </row>
    <row r="39" customFormat="false" ht="15" hidden="false" customHeight="false" outlineLevel="0" collapsed="false">
      <c r="A39" s="0" t="n">
        <v>0.3</v>
      </c>
      <c r="B39" s="0" t="n">
        <v>23300</v>
      </c>
      <c r="C39" s="0" t="n">
        <v>0.137</v>
      </c>
      <c r="D39" s="0" t="n">
        <v>48.6</v>
      </c>
      <c r="E39" s="0" t="n">
        <v>6.97</v>
      </c>
    </row>
    <row r="40" customFormat="false" ht="15" hidden="false" customHeight="false" outlineLevel="0" collapsed="false">
      <c r="A40" s="0" t="n">
        <v>0.4</v>
      </c>
      <c r="B40" s="0" t="n">
        <v>23300</v>
      </c>
      <c r="C40" s="0" t="n">
        <v>0.129</v>
      </c>
      <c r="D40" s="0" t="n">
        <v>52.6</v>
      </c>
      <c r="E40" s="0" t="n">
        <v>7.25</v>
      </c>
    </row>
    <row r="41" customFormat="false" ht="15" hidden="false" customHeight="false" outlineLevel="0" collapsed="false">
      <c r="A41" s="0" t="n">
        <v>0.5</v>
      </c>
      <c r="B41" s="0" t="n">
        <v>23300</v>
      </c>
      <c r="C41" s="0" t="n">
        <v>0.122</v>
      </c>
      <c r="D41" s="0" t="n">
        <v>55.5</v>
      </c>
      <c r="E41" s="0" t="n">
        <v>7.45</v>
      </c>
    </row>
    <row r="42" customFormat="false" ht="15" hidden="false" customHeight="false" outlineLevel="0" collapsed="false">
      <c r="A42" s="0" t="n">
        <v>0.6</v>
      </c>
      <c r="B42" s="0" t="n">
        <v>23300</v>
      </c>
      <c r="C42" s="0" t="n">
        <v>0.109</v>
      </c>
      <c r="D42" s="0" t="n">
        <v>54.5</v>
      </c>
      <c r="E42" s="0" t="n">
        <v>7.38</v>
      </c>
    </row>
    <row r="43" customFormat="false" ht="15" hidden="false" customHeight="false" outlineLevel="0" collapsed="false">
      <c r="A43" s="0" t="n">
        <v>0.7</v>
      </c>
      <c r="B43" s="0" t="n">
        <v>23300</v>
      </c>
      <c r="C43" s="0" t="n">
        <v>0.092</v>
      </c>
      <c r="D43" s="0" t="n">
        <v>49.7</v>
      </c>
      <c r="E43" s="0" t="n">
        <v>7.05</v>
      </c>
    </row>
    <row r="44" customFormat="false" ht="15" hidden="false" customHeight="false" outlineLevel="0" collapsed="false">
      <c r="A44" s="0" t="n">
        <v>0.8</v>
      </c>
      <c r="B44" s="0" t="n">
        <v>23300</v>
      </c>
      <c r="C44" s="0" t="n">
        <v>0.07</v>
      </c>
      <c r="D44" s="0" t="n">
        <v>40.4</v>
      </c>
      <c r="E44" s="0" t="n">
        <v>6.35</v>
      </c>
    </row>
    <row r="45" customFormat="false" ht="15" hidden="false" customHeight="false" outlineLevel="0" collapsed="false">
      <c r="A45" s="0" t="n">
        <v>0.9</v>
      </c>
      <c r="B45" s="0" t="n">
        <v>23300</v>
      </c>
      <c r="C45" s="0" t="n">
        <v>0.043</v>
      </c>
      <c r="D45" s="0" t="n">
        <v>26.2</v>
      </c>
      <c r="E45" s="0" t="n">
        <v>5.12</v>
      </c>
    </row>
    <row r="46" customFormat="false" ht="15" hidden="false" customHeight="false" outlineLevel="0" collapsed="false">
      <c r="A46" s="0" t="n">
        <v>1</v>
      </c>
      <c r="B46" s="0" t="n">
        <v>23300</v>
      </c>
      <c r="C46" s="0" t="n">
        <v>0</v>
      </c>
      <c r="D46" s="0" t="n">
        <v>1</v>
      </c>
      <c r="E46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96</v>
      </c>
      <c r="B1" s="0" t="s">
        <v>93</v>
      </c>
      <c r="C1" s="0" t="s">
        <v>94</v>
      </c>
      <c r="D1" s="0" t="s">
        <v>95</v>
      </c>
      <c r="E1" s="0" t="s">
        <v>97</v>
      </c>
      <c r="F1" s="0" t="s">
        <v>98</v>
      </c>
      <c r="G1" s="0" t="s">
        <v>99</v>
      </c>
      <c r="H1" s="0" t="s">
        <v>42</v>
      </c>
    </row>
    <row r="2" customFormat="false" ht="15" hidden="false" customHeight="false" outlineLevel="0" collapsed="false">
      <c r="A2" s="0" t="n">
        <v>2</v>
      </c>
      <c r="B2" s="0" t="s">
        <v>100</v>
      </c>
      <c r="C2" s="0" t="s">
        <v>45</v>
      </c>
      <c r="D2" s="0" t="s">
        <v>45</v>
      </c>
      <c r="E2" s="0" t="n">
        <v>0.17</v>
      </c>
      <c r="F2" s="0" t="n">
        <v>0.35</v>
      </c>
      <c r="G2" s="0" t="n">
        <v>0.51</v>
      </c>
      <c r="H2" s="0" t="n">
        <v>0.035</v>
      </c>
    </row>
    <row r="3" customFormat="false" ht="15" hidden="false" customHeight="false" outlineLevel="0" collapsed="false">
      <c r="A3" s="0" t="n">
        <v>4</v>
      </c>
      <c r="B3" s="0" t="s">
        <v>100</v>
      </c>
      <c r="C3" s="0" t="s">
        <v>45</v>
      </c>
      <c r="D3" s="0" t="s">
        <v>45</v>
      </c>
      <c r="E3" s="0" t="n">
        <v>0.33</v>
      </c>
      <c r="F3" s="0" t="n">
        <v>0.69</v>
      </c>
      <c r="G3" s="0" t="n">
        <v>1.02</v>
      </c>
      <c r="H3" s="0" t="n">
        <v>0.07</v>
      </c>
    </row>
    <row r="4" customFormat="false" ht="15" hidden="false" customHeight="false" outlineLevel="0" collapsed="false">
      <c r="A4" s="0" t="n">
        <v>6</v>
      </c>
      <c r="B4" s="0" t="s">
        <v>100</v>
      </c>
      <c r="C4" s="0" t="s">
        <v>45</v>
      </c>
      <c r="D4" s="0" t="s">
        <v>45</v>
      </c>
      <c r="E4" s="0" t="n">
        <v>0.5</v>
      </c>
      <c r="F4" s="0" t="n">
        <v>1.04</v>
      </c>
      <c r="G4" s="0" t="n">
        <v>1.54</v>
      </c>
      <c r="H4" s="0" t="n">
        <v>0.104</v>
      </c>
    </row>
    <row r="5" customFormat="false" ht="15" hidden="false" customHeight="false" outlineLevel="0" collapsed="false">
      <c r="A5" s="0" t="n">
        <v>8</v>
      </c>
      <c r="B5" s="0" t="s">
        <v>100</v>
      </c>
      <c r="C5" s="0" t="s">
        <v>45</v>
      </c>
      <c r="D5" s="0" t="s">
        <v>45</v>
      </c>
      <c r="E5" s="0" t="n">
        <v>0.66</v>
      </c>
      <c r="F5" s="0" t="n">
        <v>1.38</v>
      </c>
      <c r="G5" s="0" t="n">
        <v>2.04</v>
      </c>
      <c r="H5" s="0" t="n">
        <v>0.139</v>
      </c>
    </row>
    <row r="6" customFormat="false" ht="15" hidden="false" customHeight="false" outlineLevel="0" collapsed="false">
      <c r="A6" s="0" t="n">
        <v>10</v>
      </c>
      <c r="B6" s="0" t="s">
        <v>100</v>
      </c>
      <c r="C6" s="0" t="s">
        <v>45</v>
      </c>
      <c r="D6" s="0" t="s">
        <v>45</v>
      </c>
      <c r="E6" s="0" t="n">
        <v>0.83</v>
      </c>
      <c r="F6" s="0" t="n">
        <v>1.73</v>
      </c>
      <c r="G6" s="0" t="n">
        <v>2.56</v>
      </c>
      <c r="H6" s="0" t="n">
        <v>0.174</v>
      </c>
    </row>
    <row r="7" customFormat="false" ht="15" hidden="false" customHeight="false" outlineLevel="0" collapsed="false">
      <c r="A7" s="0" t="n">
        <v>12.08</v>
      </c>
      <c r="B7" s="0" t="s">
        <v>100</v>
      </c>
      <c r="C7" s="0" t="s">
        <v>45</v>
      </c>
      <c r="D7" s="0" t="s">
        <v>45</v>
      </c>
      <c r="E7" s="0" t="n">
        <v>1</v>
      </c>
      <c r="F7" s="0" t="n">
        <v>2.08</v>
      </c>
      <c r="G7" s="0" t="n">
        <v>3.08</v>
      </c>
      <c r="H7" s="0" t="n">
        <v>0.21</v>
      </c>
    </row>
    <row r="8" customFormat="false" ht="15" hidden="false" customHeight="false" outlineLevel="0" collapsed="false">
      <c r="A8" s="0" t="n">
        <v>2</v>
      </c>
      <c r="B8" s="0" t="n">
        <v>4000</v>
      </c>
      <c r="C8" s="0" t="n">
        <v>4.8</v>
      </c>
      <c r="D8" s="0" t="n">
        <v>2.17</v>
      </c>
      <c r="E8" s="0" t="s">
        <v>45</v>
      </c>
      <c r="F8" s="0" t="s">
        <v>45</v>
      </c>
      <c r="G8" s="0" t="s">
        <v>45</v>
      </c>
      <c r="H8" s="0" t="s">
        <v>45</v>
      </c>
    </row>
    <row r="9" customFormat="false" ht="15" hidden="false" customHeight="false" outlineLevel="0" collapsed="false">
      <c r="A9" s="0" t="n">
        <v>4</v>
      </c>
      <c r="B9" s="0" t="n">
        <v>4000</v>
      </c>
      <c r="C9" s="0" t="n">
        <v>9.5</v>
      </c>
      <c r="D9" s="0" t="n">
        <v>3.08</v>
      </c>
      <c r="E9" s="0" t="s">
        <v>45</v>
      </c>
      <c r="F9" s="0" t="s">
        <v>45</v>
      </c>
      <c r="G9" s="0" t="s">
        <v>45</v>
      </c>
      <c r="H9" s="0" t="s">
        <v>45</v>
      </c>
    </row>
    <row r="10" customFormat="false" ht="15" hidden="false" customHeight="false" outlineLevel="0" collapsed="false">
      <c r="A10" s="0" t="n">
        <v>6</v>
      </c>
      <c r="B10" s="0" t="n">
        <v>4000</v>
      </c>
      <c r="C10" s="0" t="n">
        <v>14.3</v>
      </c>
      <c r="D10" s="0" t="n">
        <v>3.78</v>
      </c>
      <c r="E10" s="0" t="s">
        <v>45</v>
      </c>
      <c r="F10" s="0" t="s">
        <v>45</v>
      </c>
      <c r="G10" s="0" t="s">
        <v>45</v>
      </c>
      <c r="H10" s="0" t="s">
        <v>45</v>
      </c>
    </row>
    <row r="11" customFormat="false" ht="15" hidden="false" customHeight="false" outlineLevel="0" collapsed="false">
      <c r="A11" s="0" t="n">
        <v>8</v>
      </c>
      <c r="B11" s="0" t="n">
        <v>4000</v>
      </c>
      <c r="C11" s="0" t="n">
        <v>19</v>
      </c>
      <c r="D11" s="0" t="n">
        <v>4.35</v>
      </c>
      <c r="E11" s="0" t="s">
        <v>45</v>
      </c>
      <c r="F11" s="0" t="s">
        <v>45</v>
      </c>
      <c r="G11" s="0" t="s">
        <v>45</v>
      </c>
      <c r="H11" s="0" t="s">
        <v>45</v>
      </c>
    </row>
    <row r="12" customFormat="false" ht="15" hidden="false" customHeight="false" outlineLevel="0" collapsed="false">
      <c r="A12" s="0" t="n">
        <v>10</v>
      </c>
      <c r="B12" s="0" t="n">
        <v>4000</v>
      </c>
      <c r="C12" s="0" t="n">
        <v>23.8</v>
      </c>
      <c r="D12" s="0" t="n">
        <v>4.87</v>
      </c>
      <c r="E12" s="0" t="s">
        <v>45</v>
      </c>
      <c r="F12" s="0" t="s">
        <v>45</v>
      </c>
      <c r="G12" s="0" t="s">
        <v>45</v>
      </c>
      <c r="H12" s="0" t="s">
        <v>45</v>
      </c>
    </row>
    <row r="13" customFormat="false" ht="15" hidden="false" customHeight="false" outlineLevel="0" collapsed="false">
      <c r="A13" s="0" t="n">
        <v>12.08</v>
      </c>
      <c r="B13" s="0" t="n">
        <v>4000</v>
      </c>
      <c r="C13" s="0" t="n">
        <v>28.7</v>
      </c>
      <c r="D13" s="0" t="n">
        <v>5.35</v>
      </c>
      <c r="E13" s="0" t="s">
        <v>45</v>
      </c>
      <c r="F13" s="0" t="s">
        <v>45</v>
      </c>
      <c r="G13" s="0" t="s">
        <v>45</v>
      </c>
      <c r="H13" s="0" t="s">
        <v>45</v>
      </c>
    </row>
    <row r="14" customFormat="false" ht="15" hidden="false" customHeight="false" outlineLevel="0" collapsed="false">
      <c r="A14" s="0" t="n">
        <v>2</v>
      </c>
      <c r="B14" s="0" t="n">
        <v>6100</v>
      </c>
      <c r="C14" s="0" t="n">
        <v>7.3</v>
      </c>
      <c r="D14" s="0" t="n">
        <v>2.69</v>
      </c>
      <c r="E14" s="0" t="s">
        <v>45</v>
      </c>
      <c r="F14" s="0" t="s">
        <v>45</v>
      </c>
      <c r="G14" s="0" t="s">
        <v>45</v>
      </c>
      <c r="H14" s="0" t="s">
        <v>45</v>
      </c>
    </row>
    <row r="15" customFormat="false" ht="15" hidden="false" customHeight="false" outlineLevel="0" collapsed="false">
      <c r="A15" s="0" t="n">
        <v>4</v>
      </c>
      <c r="B15" s="0" t="n">
        <v>6100</v>
      </c>
      <c r="C15" s="0" t="n">
        <v>14.5</v>
      </c>
      <c r="D15" s="0" t="n">
        <v>3.81</v>
      </c>
      <c r="E15" s="0" t="s">
        <v>45</v>
      </c>
      <c r="F15" s="0" t="s">
        <v>45</v>
      </c>
      <c r="G15" s="0" t="s">
        <v>45</v>
      </c>
      <c r="H15" s="0" t="s">
        <v>45</v>
      </c>
    </row>
    <row r="16" customFormat="false" ht="15" hidden="false" customHeight="false" outlineLevel="0" collapsed="false">
      <c r="A16" s="0" t="n">
        <v>6</v>
      </c>
      <c r="B16" s="0" t="n">
        <v>6100</v>
      </c>
      <c r="C16" s="0" t="n">
        <v>21.8</v>
      </c>
      <c r="D16" s="0" t="n">
        <v>4.66</v>
      </c>
      <c r="E16" s="0" t="s">
        <v>45</v>
      </c>
      <c r="F16" s="0" t="s">
        <v>45</v>
      </c>
      <c r="G16" s="0" t="s">
        <v>45</v>
      </c>
      <c r="H16" s="0" t="s">
        <v>45</v>
      </c>
    </row>
    <row r="17" customFormat="false" ht="15" hidden="false" customHeight="false" outlineLevel="0" collapsed="false">
      <c r="A17" s="0" t="n">
        <v>8</v>
      </c>
      <c r="B17" s="0" t="n">
        <v>6100</v>
      </c>
      <c r="C17" s="0" t="n">
        <v>29</v>
      </c>
      <c r="D17" s="0" t="n">
        <v>5.39</v>
      </c>
      <c r="E17" s="0" t="s">
        <v>45</v>
      </c>
      <c r="F17" s="0" t="s">
        <v>45</v>
      </c>
      <c r="G17" s="0" t="s">
        <v>45</v>
      </c>
      <c r="H17" s="0" t="s">
        <v>45</v>
      </c>
    </row>
    <row r="18" customFormat="false" ht="15" hidden="false" customHeight="false" outlineLevel="0" collapsed="false">
      <c r="A18" s="0" t="n">
        <v>10</v>
      </c>
      <c r="B18" s="0" t="n">
        <v>6100</v>
      </c>
      <c r="C18" s="0" t="n">
        <v>36.2</v>
      </c>
      <c r="D18" s="0" t="n">
        <v>6.02</v>
      </c>
      <c r="E18" s="0" t="s">
        <v>45</v>
      </c>
      <c r="F18" s="0" t="s">
        <v>45</v>
      </c>
      <c r="G18" s="0" t="s">
        <v>45</v>
      </c>
      <c r="H18" s="0" t="s">
        <v>45</v>
      </c>
    </row>
    <row r="19" customFormat="false" ht="15" hidden="false" customHeight="false" outlineLevel="0" collapsed="false">
      <c r="A19" s="0" t="n">
        <v>12.08</v>
      </c>
      <c r="B19" s="0" t="n">
        <v>6100</v>
      </c>
      <c r="C19" s="0" t="n">
        <v>43.8</v>
      </c>
      <c r="D19" s="0" t="n">
        <v>6.61</v>
      </c>
      <c r="E19" s="0" t="s">
        <v>45</v>
      </c>
      <c r="F19" s="0" t="s">
        <v>45</v>
      </c>
      <c r="G19" s="0" t="s">
        <v>45</v>
      </c>
      <c r="H19" s="0" t="s">
        <v>45</v>
      </c>
    </row>
    <row r="20" customFormat="false" ht="15" hidden="false" customHeight="false" outlineLevel="0" collapsed="false">
      <c r="A20" s="0" t="n">
        <v>2</v>
      </c>
      <c r="B20" s="0" t="n">
        <v>16700</v>
      </c>
      <c r="C20" s="0" t="n">
        <v>19.9</v>
      </c>
      <c r="D20" s="0" t="n">
        <v>4.46</v>
      </c>
      <c r="E20" s="0" t="s">
        <v>45</v>
      </c>
      <c r="F20" s="0" t="s">
        <v>45</v>
      </c>
      <c r="G20" s="0" t="s">
        <v>45</v>
      </c>
      <c r="H20" s="0" t="s">
        <v>45</v>
      </c>
    </row>
    <row r="21" customFormat="false" ht="15" hidden="false" customHeight="false" outlineLevel="0" collapsed="false">
      <c r="A21" s="0" t="n">
        <v>4</v>
      </c>
      <c r="B21" s="0" t="n">
        <v>16700</v>
      </c>
      <c r="C21" s="0" t="n">
        <v>39.7</v>
      </c>
      <c r="D21" s="0" t="n">
        <v>6.3</v>
      </c>
      <c r="E21" s="0" t="s">
        <v>45</v>
      </c>
      <c r="F21" s="0" t="s">
        <v>45</v>
      </c>
      <c r="G21" s="0" t="s">
        <v>45</v>
      </c>
      <c r="H21" s="0" t="s">
        <v>45</v>
      </c>
    </row>
    <row r="22" customFormat="false" ht="15" hidden="false" customHeight="false" outlineLevel="0" collapsed="false">
      <c r="A22" s="0" t="n">
        <v>6</v>
      </c>
      <c r="B22" s="0" t="n">
        <v>16700</v>
      </c>
      <c r="C22" s="0" t="n">
        <v>59.6</v>
      </c>
      <c r="D22" s="0" t="n">
        <v>7.72</v>
      </c>
      <c r="E22" s="0" t="s">
        <v>45</v>
      </c>
      <c r="F22" s="0" t="s">
        <v>45</v>
      </c>
      <c r="G22" s="0" t="s">
        <v>45</v>
      </c>
      <c r="H22" s="0" t="s">
        <v>45</v>
      </c>
    </row>
    <row r="23" customFormat="false" ht="15" hidden="false" customHeight="false" outlineLevel="0" collapsed="false">
      <c r="A23" s="0" t="n">
        <v>8</v>
      </c>
      <c r="B23" s="0" t="n">
        <v>16700</v>
      </c>
      <c r="C23" s="0" t="n">
        <v>79.4</v>
      </c>
      <c r="D23" s="0" t="n">
        <v>8.91</v>
      </c>
      <c r="E23" s="0" t="s">
        <v>45</v>
      </c>
      <c r="F23" s="0" t="s">
        <v>45</v>
      </c>
      <c r="G23" s="0" t="s">
        <v>45</v>
      </c>
      <c r="H23" s="0" t="s">
        <v>45</v>
      </c>
    </row>
    <row r="24" customFormat="false" ht="15" hidden="false" customHeight="false" outlineLevel="0" collapsed="false">
      <c r="A24" s="0" t="n">
        <v>10</v>
      </c>
      <c r="B24" s="0" t="n">
        <v>16700</v>
      </c>
      <c r="C24" s="0" t="n">
        <v>99</v>
      </c>
      <c r="D24" s="0" t="n">
        <v>10</v>
      </c>
      <c r="E24" s="0" t="s">
        <v>45</v>
      </c>
      <c r="F24" s="0" t="s">
        <v>45</v>
      </c>
      <c r="G24" s="0" t="s">
        <v>45</v>
      </c>
      <c r="H24" s="0" t="s">
        <v>45</v>
      </c>
    </row>
    <row r="25" customFormat="false" ht="15" hidden="false" customHeight="false" outlineLevel="0" collapsed="false">
      <c r="A25" s="0" t="n">
        <v>12.08</v>
      </c>
      <c r="B25" s="0" t="n">
        <v>16700</v>
      </c>
      <c r="C25" s="0" t="n">
        <v>120</v>
      </c>
      <c r="D25" s="0" t="n">
        <v>11</v>
      </c>
      <c r="E25" s="0" t="s">
        <v>45</v>
      </c>
      <c r="F25" s="0" t="s">
        <v>45</v>
      </c>
      <c r="G25" s="0" t="s">
        <v>45</v>
      </c>
      <c r="H25" s="0" t="s">
        <v>45</v>
      </c>
    </row>
    <row r="26" customFormat="false" ht="15" hidden="false" customHeight="false" outlineLevel="0" collapsed="false">
      <c r="A26" s="0" t="n">
        <v>2</v>
      </c>
      <c r="B26" s="0" t="n">
        <v>23300</v>
      </c>
      <c r="C26" s="0" t="n">
        <v>27.7</v>
      </c>
      <c r="D26" s="0" t="n">
        <v>5.26</v>
      </c>
      <c r="E26" s="0" t="s">
        <v>45</v>
      </c>
      <c r="F26" s="0" t="s">
        <v>45</v>
      </c>
      <c r="G26" s="0" t="s">
        <v>45</v>
      </c>
      <c r="H26" s="0" t="s">
        <v>45</v>
      </c>
    </row>
    <row r="27" customFormat="false" ht="15" hidden="false" customHeight="false" outlineLevel="0" collapsed="false">
      <c r="A27" s="0" t="n">
        <v>4</v>
      </c>
      <c r="B27" s="0" t="n">
        <v>23300</v>
      </c>
      <c r="C27" s="0" t="n">
        <v>55.4</v>
      </c>
      <c r="D27" s="0" t="n">
        <v>7.44</v>
      </c>
      <c r="E27" s="0" t="s">
        <v>45</v>
      </c>
      <c r="F27" s="0" t="s">
        <v>45</v>
      </c>
      <c r="G27" s="0" t="s">
        <v>45</v>
      </c>
      <c r="H27" s="0" t="s">
        <v>45</v>
      </c>
    </row>
    <row r="28" customFormat="false" ht="15" hidden="false" customHeight="false" outlineLevel="0" collapsed="false">
      <c r="A28" s="0" t="n">
        <v>6</v>
      </c>
      <c r="B28" s="0" t="n">
        <v>23300</v>
      </c>
      <c r="C28" s="0" t="n">
        <v>83.1</v>
      </c>
      <c r="D28" s="0" t="n">
        <v>9.1</v>
      </c>
      <c r="E28" s="0" t="s">
        <v>45</v>
      </c>
      <c r="F28" s="0" t="s">
        <v>45</v>
      </c>
      <c r="G28" s="0" t="s">
        <v>45</v>
      </c>
      <c r="H28" s="0" t="s">
        <v>45</v>
      </c>
    </row>
    <row r="29" customFormat="false" ht="15" hidden="false" customHeight="false" outlineLevel="0" collapsed="false">
      <c r="A29" s="0" t="n">
        <v>8</v>
      </c>
      <c r="B29" s="0" t="n">
        <v>23300</v>
      </c>
      <c r="C29" s="0" t="n">
        <v>111</v>
      </c>
      <c r="D29" s="0" t="n">
        <v>10.5</v>
      </c>
      <c r="E29" s="0" t="s">
        <v>45</v>
      </c>
      <c r="F29" s="0" t="s">
        <v>45</v>
      </c>
      <c r="G29" s="0" t="s">
        <v>45</v>
      </c>
      <c r="H29" s="0" t="s">
        <v>45</v>
      </c>
    </row>
    <row r="30" customFormat="false" ht="15" hidden="false" customHeight="false" outlineLevel="0" collapsed="false">
      <c r="A30" s="0" t="n">
        <v>10</v>
      </c>
      <c r="B30" s="0" t="n">
        <v>23300</v>
      </c>
      <c r="C30" s="0" t="n">
        <v>138</v>
      </c>
      <c r="D30" s="0" t="n">
        <v>11.7</v>
      </c>
      <c r="E30" s="0" t="s">
        <v>45</v>
      </c>
      <c r="F30" s="0" t="s">
        <v>45</v>
      </c>
      <c r="G30" s="0" t="s">
        <v>45</v>
      </c>
      <c r="H30" s="0" t="s">
        <v>45</v>
      </c>
    </row>
    <row r="31" customFormat="false" ht="15" hidden="false" customHeight="false" outlineLevel="0" collapsed="false">
      <c r="A31" s="0" t="n">
        <v>12.08</v>
      </c>
      <c r="B31" s="0" t="n">
        <v>23300</v>
      </c>
      <c r="C31" s="0" t="n">
        <v>167</v>
      </c>
      <c r="D31" s="0" t="n">
        <v>12.9</v>
      </c>
      <c r="E31" s="0" t="s">
        <v>45</v>
      </c>
      <c r="F31" s="0" t="s">
        <v>45</v>
      </c>
      <c r="G31" s="0" t="s">
        <v>45</v>
      </c>
      <c r="H31" s="0" t="s">
        <v>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9" activeCellId="0" sqref="C29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93</v>
      </c>
      <c r="B1" s="0" t="s">
        <v>83</v>
      </c>
      <c r="C1" s="0" t="s">
        <v>101</v>
      </c>
      <c r="D1" s="0" t="s">
        <v>102</v>
      </c>
      <c r="E1" s="0" t="s">
        <v>103</v>
      </c>
      <c r="F1" s="0" t="s">
        <v>48</v>
      </c>
    </row>
    <row r="2" customFormat="false" ht="15" hidden="false" customHeight="false" outlineLevel="0" collapsed="false">
      <c r="A2" s="0" t="n">
        <v>4000</v>
      </c>
      <c r="B2" s="0" t="n">
        <f aca="false">SQRT(A2)</f>
        <v>63.2455532033676</v>
      </c>
      <c r="C2" s="0" t="n">
        <v>10</v>
      </c>
      <c r="D2" s="0" t="n">
        <v>3.925</v>
      </c>
      <c r="E2" s="0" t="n">
        <v>0.435</v>
      </c>
      <c r="F2" s="0" t="n">
        <v>2.93</v>
      </c>
    </row>
    <row r="3" customFormat="false" ht="15" hidden="false" customHeight="false" outlineLevel="0" collapsed="false">
      <c r="A3" s="0" t="n">
        <v>4000</v>
      </c>
      <c r="B3" s="0" t="n">
        <f aca="false">SQRT(A3)</f>
        <v>63.2455532033676</v>
      </c>
      <c r="C3" s="0" t="n">
        <v>15</v>
      </c>
      <c r="D3" s="0" t="n">
        <v>5.925</v>
      </c>
      <c r="E3" s="0" t="n">
        <v>0.44</v>
      </c>
      <c r="F3" s="0" t="n">
        <v>2.88</v>
      </c>
    </row>
    <row r="4" customFormat="false" ht="15" hidden="false" customHeight="false" outlineLevel="0" collapsed="false">
      <c r="A4" s="0" t="n">
        <v>6100</v>
      </c>
      <c r="B4" s="0" t="n">
        <f aca="false">SQRT(A4)</f>
        <v>78.1024967590665</v>
      </c>
      <c r="C4" s="0" t="n">
        <v>10</v>
      </c>
      <c r="D4" s="0" t="n">
        <v>3.265</v>
      </c>
      <c r="E4" s="0" t="n">
        <v>0.46</v>
      </c>
      <c r="F4" s="0" t="n">
        <v>3.33</v>
      </c>
    </row>
    <row r="5" customFormat="false" ht="15" hidden="false" customHeight="false" outlineLevel="0" collapsed="false">
      <c r="A5" s="0" t="n">
        <v>6100</v>
      </c>
      <c r="B5" s="0" t="n">
        <f aca="false">SQRT(A5)</f>
        <v>78.1024967590665</v>
      </c>
      <c r="C5" s="0" t="n">
        <v>15</v>
      </c>
      <c r="D5" s="0" t="n">
        <v>4.91</v>
      </c>
      <c r="E5" s="0" t="n">
        <v>0.45</v>
      </c>
      <c r="F5" s="0" t="n">
        <v>3.39</v>
      </c>
    </row>
    <row r="6" customFormat="false" ht="15" hidden="false" customHeight="false" outlineLevel="0" collapsed="false">
      <c r="A6" s="0" t="n">
        <v>16700</v>
      </c>
      <c r="B6" s="0" t="n">
        <f aca="false">SQRT(A6)</f>
        <v>129.228479833201</v>
      </c>
      <c r="C6" s="0" t="n">
        <v>20</v>
      </c>
      <c r="D6" s="0" t="n">
        <v>4.31</v>
      </c>
      <c r="E6" s="0" t="n">
        <v>0.46</v>
      </c>
      <c r="F6" s="0" t="n">
        <v>5.04</v>
      </c>
    </row>
    <row r="7" customFormat="false" ht="15" hidden="false" customHeight="false" outlineLevel="0" collapsed="false">
      <c r="A7" s="0" t="n">
        <v>16700</v>
      </c>
      <c r="B7" s="0" t="n">
        <f aca="false">SQRT(A7)</f>
        <v>129.228479833201</v>
      </c>
      <c r="C7" s="0" t="n">
        <v>40</v>
      </c>
      <c r="D7" s="0" t="n">
        <v>8.59</v>
      </c>
      <c r="E7" s="0" t="n">
        <v>0.45</v>
      </c>
      <c r="F7" s="0" t="n">
        <v>5.17</v>
      </c>
    </row>
    <row r="8" customFormat="false" ht="15" hidden="false" customHeight="false" outlineLevel="0" collapsed="false">
      <c r="A8" s="0" t="n">
        <v>23300</v>
      </c>
      <c r="B8" s="0" t="n">
        <f aca="false">SQRT(A8)</f>
        <v>152.643375224737</v>
      </c>
      <c r="C8" s="0" t="n">
        <v>20</v>
      </c>
      <c r="D8" s="0" t="n">
        <v>3.61</v>
      </c>
      <c r="E8" s="0" t="n">
        <v>0.46</v>
      </c>
      <c r="F8" s="0" t="n">
        <v>6.03</v>
      </c>
    </row>
    <row r="9" customFormat="false" ht="15" hidden="false" customHeight="false" outlineLevel="0" collapsed="false">
      <c r="A9" s="0" t="n">
        <v>23300</v>
      </c>
      <c r="B9" s="0" t="n">
        <f aca="false">SQRT(A9)</f>
        <v>152.643375224737</v>
      </c>
      <c r="C9" s="0" t="n">
        <v>40</v>
      </c>
      <c r="D9" s="0" t="n">
        <v>7.41</v>
      </c>
      <c r="E9" s="0" t="n">
        <v>0.46</v>
      </c>
      <c r="F9" s="0" t="n">
        <v>5.87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2019-03-25T12:02:56Z</dcterms:created>
  <dc:creator>Michael Walker</dc:creator>
  <dc:description/>
  <dc:language>en-US</dc:language>
  <cp:lastModifiedBy>Michael Walker</cp:lastModifiedBy>
  <dcterms:modified xsi:type="dcterms:W3CDTF">2026-10-28T03:00:20Z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