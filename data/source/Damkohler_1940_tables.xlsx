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21302a3d57b741/Documents/CTRFL/CST LabTales/Damkohler_figures/"/>
    </mc:Choice>
  </mc:AlternateContent>
  <xr:revisionPtr revIDLastSave="85" documentId="114_{6E81844E-3125-4BF5-BAFA-A5F0D7282F1D}" xr6:coauthVersionLast="47" xr6:coauthVersionMax="47" xr10:uidLastSave="{56F38E9E-0364-492F-8ABA-0439DEC9201A}"/>
  <bookViews>
    <workbookView xWindow="4305" yWindow="3510" windowWidth="21600" windowHeight="12645" activeTab="5" xr2:uid="{DE3F6FEC-FCE1-465F-A2BF-857C253C99E6}"/>
  </bookViews>
  <sheets>
    <sheet name="Full" sheetId="7" r:id="rId1"/>
    <sheet name="Figure 6a" sheetId="8" r:id="rId2"/>
    <sheet name="Figure 5" sheetId="9" r:id="rId3"/>
    <sheet name="Table 1" sheetId="5" r:id="rId4"/>
    <sheet name="Table 2" sheetId="2" r:id="rId5"/>
    <sheet name="Table 3" sheetId="1" r:id="rId6"/>
    <sheet name="Table 8a" sheetId="4" r:id="rId7"/>
    <sheet name="Table 8b" sheetId="3" r:id="rId8"/>
    <sheet name="Table 9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E14" i="7" s="1"/>
  <c r="F15" i="7"/>
  <c r="E15" i="7" s="1"/>
  <c r="F16" i="7"/>
  <c r="E16" i="7" s="1"/>
  <c r="F17" i="7"/>
  <c r="F18" i="7"/>
  <c r="F19" i="7"/>
  <c r="F20" i="7"/>
  <c r="E20" i="7" s="1"/>
  <c r="F21" i="7"/>
  <c r="E21" i="7" s="1"/>
  <c r="F22" i="7"/>
  <c r="E22" i="7" s="1"/>
  <c r="F23" i="7"/>
  <c r="E23" i="7" s="1"/>
  <c r="F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" i="7"/>
  <c r="AT2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" i="7"/>
  <c r="E4" i="7"/>
  <c r="E5" i="7"/>
  <c r="E8" i="7"/>
  <c r="E9" i="7"/>
  <c r="E10" i="7"/>
  <c r="E11" i="7"/>
  <c r="E12" i="7"/>
  <c r="E13" i="7"/>
  <c r="H2" i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16" i="2"/>
  <c r="F3" i="2"/>
  <c r="F4" i="2"/>
  <c r="F5" i="2"/>
  <c r="F6" i="2"/>
  <c r="F10" i="2"/>
  <c r="F11" i="2"/>
  <c r="F13" i="2"/>
  <c r="F14" i="2"/>
  <c r="F2" i="2"/>
  <c r="B3" i="6"/>
  <c r="B4" i="6"/>
  <c r="B5" i="6"/>
  <c r="B6" i="6"/>
  <c r="B7" i="6"/>
  <c r="B8" i="6"/>
  <c r="B9" i="6"/>
  <c r="B2" i="6"/>
  <c r="F3" i="5"/>
  <c r="F4" i="5"/>
  <c r="F2" i="5"/>
</calcChain>
</file>

<file path=xl/sharedStrings.xml><?xml version="1.0" encoding="utf-8"?>
<sst xmlns="http://schemas.openxmlformats.org/spreadsheetml/2006/main" count="983" uniqueCount="105">
  <si>
    <t>K</t>
  </si>
  <si>
    <t>Ph</t>
  </si>
  <si>
    <t>Y</t>
  </si>
  <si>
    <t>N</t>
  </si>
  <si>
    <t>r/R</t>
  </si>
  <si>
    <t>l/R</t>
  </si>
  <si>
    <t>epsilon/nu</t>
  </si>
  <si>
    <t>sqrt(epsilon/nu)</t>
  </si>
  <si>
    <t>nuclear flow</t>
  </si>
  <si>
    <t>Re</t>
  </si>
  <si>
    <t>x/R</t>
  </si>
  <si>
    <t>ba/R</t>
  </si>
  <si>
    <t>any</t>
  </si>
  <si>
    <t>NA</t>
  </si>
  <si>
    <t>Test</t>
  </si>
  <si>
    <t>V_dot_C3H8 (cm3/s)</t>
  </si>
  <si>
    <t>V_dot_O2 (cm3/s)</t>
  </si>
  <si>
    <t>% C3H8</t>
  </si>
  <si>
    <t>delta P (mmHg)</t>
  </si>
  <si>
    <t>V_dot_total, G (cm3/s)</t>
  </si>
  <si>
    <t>delta P (G)</t>
  </si>
  <si>
    <t>mu (g/cms)</t>
  </si>
  <si>
    <t>rho (g/cm3)</t>
  </si>
  <si>
    <t>nu (cm2/s)</t>
  </si>
  <si>
    <t>Mole weight "propane"</t>
  </si>
  <si>
    <t>V_dot_"propane" (cm3/s)</t>
  </si>
  <si>
    <t>Tube diameter (mm)</t>
  </si>
  <si>
    <t>method</t>
  </si>
  <si>
    <t>u (cm/s)</t>
  </si>
  <si>
    <t>sqrt(Re)</t>
  </si>
  <si>
    <t>noiseless</t>
  </si>
  <si>
    <t>whistle</t>
  </si>
  <si>
    <t>S/d_max</t>
  </si>
  <si>
    <t>S/d_min</t>
  </si>
  <si>
    <t>Tube</t>
  </si>
  <si>
    <t>Inner D (mm)</t>
  </si>
  <si>
    <t>Outer D (mm)</t>
  </si>
  <si>
    <t>L/d</t>
  </si>
  <si>
    <t>wall thickness (mm)</t>
  </si>
  <si>
    <t>Length (mm)</t>
  </si>
  <si>
    <t>% C3H8 (%)</t>
  </si>
  <si>
    <t>S/R</t>
  </si>
  <si>
    <t>bl/R</t>
  </si>
  <si>
    <t>u_mean/w_fl</t>
  </si>
  <si>
    <t>R'/R</t>
  </si>
  <si>
    <t>wft/wfl</t>
  </si>
  <si>
    <t>Name</t>
  </si>
  <si>
    <t>Experiment</t>
  </si>
  <si>
    <t>P (MPa)</t>
  </si>
  <si>
    <t>u'/sl</t>
  </si>
  <si>
    <t>l0/dl</t>
  </si>
  <si>
    <t>st/sl_c=0.05</t>
  </si>
  <si>
    <t>st/sl_c=0.1</t>
  </si>
  <si>
    <t>st/sl_c=0.2</t>
  </si>
  <si>
    <t>st/sl_c=0.5</t>
  </si>
  <si>
    <t>st/sl_c=NA</t>
  </si>
  <si>
    <t>T(K)</t>
  </si>
  <si>
    <t>Le</t>
  </si>
  <si>
    <t>Fuel</t>
  </si>
  <si>
    <t>At/Al_grad_c</t>
  </si>
  <si>
    <t>At/Al_shepherd</t>
  </si>
  <si>
    <t>Burner Diameter (mm)</t>
  </si>
  <si>
    <t>Taylor (mm)</t>
  </si>
  <si>
    <t>eta (mm)</t>
  </si>
  <si>
    <t>Ka (provided)</t>
  </si>
  <si>
    <t>Da (provided)</t>
  </si>
  <si>
    <t>D (cm2/s)</t>
  </si>
  <si>
    <t>alpha (cm2/s)</t>
  </si>
  <si>
    <t>Pilot (Y/N)</t>
  </si>
  <si>
    <t>Pilot Fuel</t>
  </si>
  <si>
    <t>U_mean (m/s)</t>
  </si>
  <si>
    <t>u' (m/s)</t>
  </si>
  <si>
    <t>sl (m/s)</t>
  </si>
  <si>
    <t>l0 (mm)</t>
  </si>
  <si>
    <t>dl (mm)</t>
  </si>
  <si>
    <t>Ma</t>
  </si>
  <si>
    <t>fan RPM</t>
  </si>
  <si>
    <t>S_f or dR/dt (m/s)</t>
  </si>
  <si>
    <t>Re_R</t>
  </si>
  <si>
    <t>f (Hz)</t>
  </si>
  <si>
    <t>D1</t>
  </si>
  <si>
    <t>Damkohler_1947</t>
  </si>
  <si>
    <t>85%C3H8_15%C4H10</t>
  </si>
  <si>
    <t>Phi_O2</t>
  </si>
  <si>
    <t>Afstoic_85%_propane_15%_butane</t>
  </si>
  <si>
    <t>inf</t>
  </si>
  <si>
    <t>S_max</t>
  </si>
  <si>
    <t>S_min</t>
  </si>
  <si>
    <t>R'_max</t>
  </si>
  <si>
    <t>R'_min</t>
  </si>
  <si>
    <t>F_max (cm2)</t>
  </si>
  <si>
    <t>F_min (cm2)</t>
  </si>
  <si>
    <t>wf_max (cm/s)</t>
  </si>
  <si>
    <t>wf_min (cm/s)</t>
  </si>
  <si>
    <t>wf_max/wf_min</t>
  </si>
  <si>
    <t>Re_d</t>
  </si>
  <si>
    <t>wf (m/s)</t>
  </si>
  <si>
    <t>turb/lam</t>
  </si>
  <si>
    <t>inner/outer</t>
  </si>
  <si>
    <t>turbulent</t>
  </si>
  <si>
    <t>inner</t>
  </si>
  <si>
    <t>(bi+ba)/R</t>
  </si>
  <si>
    <t>laminar</t>
  </si>
  <si>
    <t>u'/sL</t>
  </si>
  <si>
    <t>Re_T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</si>
</sst>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D2F6-2629-4353-8413-C91B1DFEE4DC}">
  <dimension ref="A1:AU23"/>
  <sheetViews>
    <sheetView workbookViewId="0">
      <selection activeCell="C6" sqref="C6"/>
    </sheetView>
  </sheetViews>
  <sheetFormatPr defaultRowHeight="15" x14ac:dyDescent="0.25"/>
  <sheetData>
    <row r="1" spans="1:47" x14ac:dyDescent="0.25">
      <c r="A1" t="s">
        <v>46</v>
      </c>
      <c r="B1" t="s">
        <v>47</v>
      </c>
      <c r="C1" t="s">
        <v>83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104</v>
      </c>
      <c r="U1" t="s">
        <v>95</v>
      </c>
      <c r="V1" t="s">
        <v>64</v>
      </c>
      <c r="W1" t="s">
        <v>65</v>
      </c>
      <c r="X1" t="s">
        <v>66</v>
      </c>
      <c r="Y1" t="s">
        <v>23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92</v>
      </c>
      <c r="AN1" t="s">
        <v>93</v>
      </c>
      <c r="AO1" t="s">
        <v>94</v>
      </c>
      <c r="AP1" t="s">
        <v>4</v>
      </c>
      <c r="AQ1" t="s">
        <v>5</v>
      </c>
      <c r="AR1" t="s">
        <v>6</v>
      </c>
      <c r="AS1" t="s">
        <v>45</v>
      </c>
      <c r="AT1" t="s">
        <v>50</v>
      </c>
      <c r="AU1" t="s">
        <v>103</v>
      </c>
    </row>
    <row r="2" spans="1:47" s="3" customFormat="1" x14ac:dyDescent="0.25">
      <c r="A2" s="3" t="s">
        <v>80</v>
      </c>
      <c r="B2" s="3" t="s">
        <v>81</v>
      </c>
      <c r="C2" s="3">
        <v>0.51423550087873504</v>
      </c>
      <c r="D2" s="3">
        <v>0.1</v>
      </c>
      <c r="E2" s="3">
        <v>0</v>
      </c>
      <c r="F2" s="3">
        <f>AF2/AG2*10</f>
        <v>10.999999999999998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>
        <v>291</v>
      </c>
      <c r="M2" s="3" t="s">
        <v>13</v>
      </c>
      <c r="N2" s="3" t="s">
        <v>82</v>
      </c>
      <c r="O2" s="3" t="s">
        <v>13</v>
      </c>
      <c r="P2" s="3" t="s">
        <v>13</v>
      </c>
      <c r="Q2" s="3">
        <v>1.385</v>
      </c>
      <c r="R2" s="3" t="s">
        <v>13</v>
      </c>
      <c r="S2" s="3" t="s">
        <v>13</v>
      </c>
      <c r="T2" s="3">
        <f>U2-2300</f>
        <v>-745</v>
      </c>
      <c r="U2" s="3">
        <v>1555</v>
      </c>
      <c r="V2" s="3" t="s">
        <v>13</v>
      </c>
      <c r="W2" s="3" t="s">
        <v>13</v>
      </c>
      <c r="X2" s="3" t="s">
        <v>13</v>
      </c>
      <c r="Y2" s="3">
        <v>0.14000000000000001</v>
      </c>
      <c r="Z2" s="3" t="s">
        <v>13</v>
      </c>
      <c r="AA2" s="3" t="s">
        <v>3</v>
      </c>
      <c r="AB2" s="3" t="s">
        <v>13</v>
      </c>
      <c r="AC2" s="3">
        <v>15.71</v>
      </c>
      <c r="AD2" s="3" t="s">
        <v>13</v>
      </c>
      <c r="AE2" s="3" t="s">
        <v>13</v>
      </c>
      <c r="AF2" s="3">
        <v>0.11</v>
      </c>
      <c r="AG2" s="3">
        <v>0.1</v>
      </c>
      <c r="AH2" s="3" t="s">
        <v>13</v>
      </c>
      <c r="AI2" s="3" t="s">
        <v>13</v>
      </c>
      <c r="AJ2" s="3" t="s">
        <v>13</v>
      </c>
      <c r="AK2" s="3" t="s">
        <v>13</v>
      </c>
      <c r="AL2" s="3" t="s">
        <v>13</v>
      </c>
      <c r="AM2" s="3">
        <v>202</v>
      </c>
      <c r="AN2" s="3" t="s">
        <v>13</v>
      </c>
      <c r="AO2" s="3" t="s">
        <v>13</v>
      </c>
      <c r="AP2" s="3">
        <v>0</v>
      </c>
      <c r="AQ2" s="3">
        <f>AF2/(Q2/2)</f>
        <v>0.1588447653429603</v>
      </c>
      <c r="AT2" s="3">
        <f>AF2/AG2</f>
        <v>1.0999999999999999</v>
      </c>
    </row>
    <row r="3" spans="1:47" s="3" customFormat="1" x14ac:dyDescent="0.25">
      <c r="A3" s="3" t="s">
        <v>80</v>
      </c>
      <c r="B3" s="3" t="s">
        <v>81</v>
      </c>
      <c r="C3" s="3">
        <v>0.7416552472307868</v>
      </c>
      <c r="D3" s="3">
        <v>0.1</v>
      </c>
      <c r="E3" s="3">
        <v>0</v>
      </c>
      <c r="F3" s="3">
        <f t="shared" ref="F3:F23" si="0">AF3/AG3*10</f>
        <v>10.999999999999998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>
        <v>291</v>
      </c>
      <c r="M3" s="3" t="s">
        <v>13</v>
      </c>
      <c r="N3" s="3" t="s">
        <v>82</v>
      </c>
      <c r="O3" s="3" t="s">
        <v>13</v>
      </c>
      <c r="P3" s="3" t="s">
        <v>13</v>
      </c>
      <c r="Q3" s="3">
        <v>1.385</v>
      </c>
      <c r="R3" s="3" t="s">
        <v>13</v>
      </c>
      <c r="S3" s="3" t="s">
        <v>13</v>
      </c>
      <c r="T3" s="3">
        <f t="shared" ref="T3:T23" si="1">U3-2300</f>
        <v>-879</v>
      </c>
      <c r="U3" s="3">
        <v>1421</v>
      </c>
      <c r="V3" s="3" t="s">
        <v>13</v>
      </c>
      <c r="W3" s="3" t="s">
        <v>13</v>
      </c>
      <c r="X3" s="3" t="s">
        <v>13</v>
      </c>
      <c r="Y3" s="3">
        <v>0.13500000000000001</v>
      </c>
      <c r="Z3" s="3" t="s">
        <v>13</v>
      </c>
      <c r="AA3" s="3" t="s">
        <v>3</v>
      </c>
      <c r="AB3" s="3" t="s">
        <v>13</v>
      </c>
      <c r="AC3" s="3">
        <v>13.83</v>
      </c>
      <c r="AD3" s="3" t="s">
        <v>13</v>
      </c>
      <c r="AE3" s="3" t="s">
        <v>13</v>
      </c>
      <c r="AF3" s="3">
        <v>0.11</v>
      </c>
      <c r="AG3" s="3">
        <v>0.1</v>
      </c>
      <c r="AH3" s="3" t="s">
        <v>13</v>
      </c>
      <c r="AI3" s="3" t="s">
        <v>13</v>
      </c>
      <c r="AJ3" s="3" t="s">
        <v>13</v>
      </c>
      <c r="AK3" s="3" t="s">
        <v>13</v>
      </c>
      <c r="AL3" s="3" t="s">
        <v>13</v>
      </c>
      <c r="AM3" s="3">
        <v>266</v>
      </c>
      <c r="AN3" s="3" t="s">
        <v>13</v>
      </c>
      <c r="AO3" s="3" t="s">
        <v>13</v>
      </c>
      <c r="AP3" s="3">
        <v>0</v>
      </c>
      <c r="AQ3" s="3">
        <f t="shared" ref="AQ3:AQ23" si="2">AF3/(Q3/2)</f>
        <v>0.1588447653429603</v>
      </c>
    </row>
    <row r="4" spans="1:47" x14ac:dyDescent="0.25">
      <c r="A4" t="s">
        <v>80</v>
      </c>
      <c r="B4" t="s">
        <v>81</v>
      </c>
      <c r="C4">
        <v>0.72941595441595442</v>
      </c>
      <c r="D4">
        <v>0.1</v>
      </c>
      <c r="E4" s="3">
        <f t="shared" ref="E4:E23" si="3">SQRT(U4-2300)/F4</f>
        <v>3.7039179613569755</v>
      </c>
      <c r="F4" s="3">
        <f t="shared" si="0"/>
        <v>10.999999999999998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>
        <v>291</v>
      </c>
      <c r="M4" t="s">
        <v>13</v>
      </c>
      <c r="N4" t="s">
        <v>82</v>
      </c>
      <c r="O4" t="s">
        <v>13</v>
      </c>
      <c r="P4" t="s">
        <v>13</v>
      </c>
      <c r="Q4">
        <v>1.385</v>
      </c>
      <c r="R4" t="s">
        <v>13</v>
      </c>
      <c r="S4" t="s">
        <v>13</v>
      </c>
      <c r="T4" s="3">
        <f t="shared" si="1"/>
        <v>1660</v>
      </c>
      <c r="U4">
        <v>3960</v>
      </c>
      <c r="V4" t="s">
        <v>13</v>
      </c>
      <c r="W4" t="s">
        <v>13</v>
      </c>
      <c r="X4" t="s">
        <v>13</v>
      </c>
      <c r="Y4">
        <v>0.13500000000000001</v>
      </c>
      <c r="Z4" t="s">
        <v>13</v>
      </c>
      <c r="AA4" t="s">
        <v>3</v>
      </c>
      <c r="AB4" t="s">
        <v>13</v>
      </c>
      <c r="AC4">
        <v>38.6</v>
      </c>
      <c r="AD4" t="s">
        <v>13</v>
      </c>
      <c r="AE4" t="s">
        <v>13</v>
      </c>
      <c r="AF4">
        <v>0.11</v>
      </c>
      <c r="AG4">
        <v>0.1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>
        <v>248.5</v>
      </c>
      <c r="AN4" t="s">
        <v>13</v>
      </c>
      <c r="AO4" t="s">
        <v>13</v>
      </c>
      <c r="AP4">
        <v>0</v>
      </c>
      <c r="AQ4">
        <f t="shared" si="2"/>
        <v>0.1588447653429603</v>
      </c>
    </row>
    <row r="5" spans="1:47" x14ac:dyDescent="0.25">
      <c r="A5" t="s">
        <v>80</v>
      </c>
      <c r="B5" t="s">
        <v>81</v>
      </c>
      <c r="C5">
        <v>0.69366787494336202</v>
      </c>
      <c r="D5">
        <v>0.1</v>
      </c>
      <c r="E5" s="3">
        <f t="shared" si="3"/>
        <v>2.2872264773471138</v>
      </c>
      <c r="F5" s="3">
        <f t="shared" si="0"/>
        <v>10.999999999999998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>
        <v>291</v>
      </c>
      <c r="M5" t="s">
        <v>13</v>
      </c>
      <c r="N5" t="s">
        <v>82</v>
      </c>
      <c r="O5" t="s">
        <v>13</v>
      </c>
      <c r="P5" t="s">
        <v>13</v>
      </c>
      <c r="Q5">
        <v>1.385</v>
      </c>
      <c r="R5" t="s">
        <v>13</v>
      </c>
      <c r="S5" t="s">
        <v>13</v>
      </c>
      <c r="T5" s="3">
        <f t="shared" si="1"/>
        <v>633</v>
      </c>
      <c r="U5">
        <v>2933</v>
      </c>
      <c r="V5" t="s">
        <v>13</v>
      </c>
      <c r="W5" t="s">
        <v>13</v>
      </c>
      <c r="X5" t="s">
        <v>13</v>
      </c>
      <c r="Y5">
        <v>0.13600000000000001</v>
      </c>
      <c r="Z5" t="s">
        <v>13</v>
      </c>
      <c r="AA5" t="s">
        <v>3</v>
      </c>
      <c r="AB5" t="s">
        <v>13</v>
      </c>
      <c r="AC5">
        <v>28.74</v>
      </c>
      <c r="AD5" t="s">
        <v>13</v>
      </c>
      <c r="AE5" t="s">
        <v>13</v>
      </c>
      <c r="AF5">
        <v>0.11</v>
      </c>
      <c r="AG5">
        <v>0.1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>
        <v>252.7</v>
      </c>
      <c r="AN5" t="s">
        <v>13</v>
      </c>
      <c r="AO5" t="s">
        <v>13</v>
      </c>
      <c r="AP5">
        <v>0</v>
      </c>
      <c r="AQ5">
        <f t="shared" si="2"/>
        <v>0.1588447653429603</v>
      </c>
    </row>
    <row r="6" spans="1:47" s="3" customFormat="1" x14ac:dyDescent="0.25">
      <c r="A6" s="3" t="s">
        <v>80</v>
      </c>
      <c r="B6" s="3" t="s">
        <v>81</v>
      </c>
      <c r="C6" s="3">
        <v>1.05127627627628</v>
      </c>
      <c r="D6" s="3">
        <v>0.1</v>
      </c>
      <c r="E6" s="3">
        <v>0</v>
      </c>
      <c r="F6" s="3">
        <f t="shared" si="0"/>
        <v>10.999999999999998</v>
      </c>
      <c r="G6" s="3" t="s">
        <v>13</v>
      </c>
      <c r="H6" s="3" t="s">
        <v>13</v>
      </c>
      <c r="I6" s="3" t="s">
        <v>13</v>
      </c>
      <c r="J6" s="3" t="s">
        <v>13</v>
      </c>
      <c r="K6" s="3" t="s">
        <v>13</v>
      </c>
      <c r="L6" s="3">
        <v>291</v>
      </c>
      <c r="M6" s="3" t="s">
        <v>13</v>
      </c>
      <c r="N6" s="3" t="s">
        <v>82</v>
      </c>
      <c r="O6" s="3" t="s">
        <v>13</v>
      </c>
      <c r="P6" s="3" t="s">
        <v>13</v>
      </c>
      <c r="Q6" s="3">
        <v>1.385</v>
      </c>
      <c r="R6" s="3" t="s">
        <v>13</v>
      </c>
      <c r="S6" s="3" t="s">
        <v>13</v>
      </c>
      <c r="T6" s="3">
        <f t="shared" si="1"/>
        <v>-1181</v>
      </c>
      <c r="U6" s="3">
        <v>1119</v>
      </c>
      <c r="V6" s="3" t="s">
        <v>13</v>
      </c>
      <c r="W6" s="3" t="s">
        <v>13</v>
      </c>
      <c r="X6" s="3" t="s">
        <v>13</v>
      </c>
      <c r="Y6" s="3">
        <v>0.129</v>
      </c>
      <c r="Z6" s="3" t="s">
        <v>13</v>
      </c>
      <c r="AA6" s="3" t="s">
        <v>3</v>
      </c>
      <c r="AB6" s="3" t="s">
        <v>13</v>
      </c>
      <c r="AC6" s="3">
        <v>10.42</v>
      </c>
      <c r="AD6" s="3" t="s">
        <v>13</v>
      </c>
      <c r="AE6" s="3" t="s">
        <v>13</v>
      </c>
      <c r="AF6" s="3">
        <v>0.11</v>
      </c>
      <c r="AG6" s="3">
        <v>0.1</v>
      </c>
      <c r="AH6" s="3" t="s">
        <v>13</v>
      </c>
      <c r="AI6" s="3" t="s">
        <v>13</v>
      </c>
      <c r="AJ6" s="3" t="s">
        <v>13</v>
      </c>
      <c r="AK6" s="3" t="s">
        <v>13</v>
      </c>
      <c r="AL6" s="3" t="s">
        <v>13</v>
      </c>
      <c r="AM6" s="3">
        <v>275</v>
      </c>
      <c r="AN6" s="3">
        <v>321</v>
      </c>
      <c r="AO6" s="3">
        <v>1.17</v>
      </c>
      <c r="AP6" s="3">
        <v>0</v>
      </c>
      <c r="AQ6" s="3">
        <f t="shared" si="2"/>
        <v>0.1588447653429603</v>
      </c>
    </row>
    <row r="7" spans="1:47" s="3" customFormat="1" x14ac:dyDescent="0.25">
      <c r="A7" s="3" t="s">
        <v>80</v>
      </c>
      <c r="B7" s="3" t="s">
        <v>81</v>
      </c>
      <c r="C7" s="3">
        <v>1.8377196539605296</v>
      </c>
      <c r="D7" s="3">
        <v>0.1</v>
      </c>
      <c r="E7" s="3">
        <v>0</v>
      </c>
      <c r="F7" s="3">
        <f t="shared" si="0"/>
        <v>10.999999999999998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291</v>
      </c>
      <c r="M7" s="3" t="s">
        <v>13</v>
      </c>
      <c r="N7" s="3" t="s">
        <v>82</v>
      </c>
      <c r="O7" s="3" t="s">
        <v>13</v>
      </c>
      <c r="P7" s="3" t="s">
        <v>13</v>
      </c>
      <c r="Q7" s="3">
        <v>1.385</v>
      </c>
      <c r="R7" s="3" t="s">
        <v>13</v>
      </c>
      <c r="S7" s="3" t="s">
        <v>13</v>
      </c>
      <c r="T7" s="3">
        <f t="shared" si="1"/>
        <v>-1202</v>
      </c>
      <c r="U7" s="3">
        <v>1098</v>
      </c>
      <c r="V7" s="3" t="s">
        <v>13</v>
      </c>
      <c r="W7" s="3" t="s">
        <v>13</v>
      </c>
      <c r="X7" s="3" t="s">
        <v>13</v>
      </c>
      <c r="Y7" s="3">
        <v>0.11700000000000001</v>
      </c>
      <c r="Z7" s="3" t="s">
        <v>13</v>
      </c>
      <c r="AA7" s="3" t="s">
        <v>3</v>
      </c>
      <c r="AB7" s="3" t="s">
        <v>13</v>
      </c>
      <c r="AC7" s="3">
        <v>9.2799999999999994</v>
      </c>
      <c r="AD7" s="3" t="s">
        <v>13</v>
      </c>
      <c r="AE7" s="3" t="s">
        <v>13</v>
      </c>
      <c r="AF7" s="3">
        <v>0.11</v>
      </c>
      <c r="AG7" s="3">
        <v>0.1</v>
      </c>
      <c r="AH7" s="3" t="s">
        <v>13</v>
      </c>
      <c r="AI7" s="3" t="s">
        <v>13</v>
      </c>
      <c r="AJ7" s="3" t="s">
        <v>13</v>
      </c>
      <c r="AK7" s="3" t="s">
        <v>13</v>
      </c>
      <c r="AL7" s="3" t="s">
        <v>13</v>
      </c>
      <c r="AM7" s="3">
        <v>145.19999999999999</v>
      </c>
      <c r="AN7" s="3">
        <v>205</v>
      </c>
      <c r="AO7" s="3">
        <v>1.41</v>
      </c>
      <c r="AP7" s="3">
        <v>0</v>
      </c>
      <c r="AQ7" s="3">
        <f t="shared" si="2"/>
        <v>0.1588447653429603</v>
      </c>
    </row>
    <row r="8" spans="1:47" x14ac:dyDescent="0.25">
      <c r="A8" t="s">
        <v>80</v>
      </c>
      <c r="B8" t="s">
        <v>81</v>
      </c>
      <c r="C8">
        <v>1.3973067173637517</v>
      </c>
      <c r="D8">
        <v>0.1</v>
      </c>
      <c r="E8" s="3">
        <f t="shared" si="3"/>
        <v>2.0327890704543545</v>
      </c>
      <c r="F8" s="3">
        <f t="shared" si="0"/>
        <v>10.999999999999998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>
        <v>291</v>
      </c>
      <c r="M8" t="s">
        <v>13</v>
      </c>
      <c r="N8" t="s">
        <v>82</v>
      </c>
      <c r="O8" t="s">
        <v>13</v>
      </c>
      <c r="P8" t="s">
        <v>13</v>
      </c>
      <c r="Q8">
        <v>1.385</v>
      </c>
      <c r="R8" t="s">
        <v>13</v>
      </c>
      <c r="S8" t="s">
        <v>13</v>
      </c>
      <c r="T8" s="3">
        <f t="shared" si="1"/>
        <v>500</v>
      </c>
      <c r="U8">
        <v>2800</v>
      </c>
      <c r="V8" t="s">
        <v>13</v>
      </c>
      <c r="W8" t="s">
        <v>13</v>
      </c>
      <c r="X8" t="s">
        <v>13</v>
      </c>
      <c r="Y8">
        <v>0.123</v>
      </c>
      <c r="Z8" t="s">
        <v>13</v>
      </c>
      <c r="AA8" t="s">
        <v>3</v>
      </c>
      <c r="AB8" t="s">
        <v>13</v>
      </c>
      <c r="AC8">
        <v>24.88</v>
      </c>
      <c r="AD8" t="s">
        <v>13</v>
      </c>
      <c r="AE8" t="s">
        <v>13</v>
      </c>
      <c r="AF8">
        <v>0.11</v>
      </c>
      <c r="AG8">
        <v>0.1</v>
      </c>
      <c r="AH8" t="s">
        <v>13</v>
      </c>
      <c r="AI8" t="s">
        <v>13</v>
      </c>
      <c r="AJ8" t="s">
        <v>13</v>
      </c>
      <c r="AK8" t="s">
        <v>13</v>
      </c>
      <c r="AL8" t="s">
        <v>13</v>
      </c>
      <c r="AM8">
        <v>211.4</v>
      </c>
      <c r="AN8">
        <v>291.89999999999998</v>
      </c>
      <c r="AO8">
        <v>1.38</v>
      </c>
      <c r="AP8">
        <v>0</v>
      </c>
      <c r="AQ8">
        <f t="shared" si="2"/>
        <v>0.1588447653429603</v>
      </c>
    </row>
    <row r="9" spans="1:47" x14ac:dyDescent="0.25">
      <c r="A9" t="s">
        <v>80</v>
      </c>
      <c r="B9" t="s">
        <v>81</v>
      </c>
      <c r="C9">
        <v>1.9394042232277526</v>
      </c>
      <c r="D9">
        <v>0.1</v>
      </c>
      <c r="E9" s="3">
        <f t="shared" si="3"/>
        <v>2.4646257657683566</v>
      </c>
      <c r="F9" s="3">
        <f t="shared" si="0"/>
        <v>10.999999999999998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>
        <v>291</v>
      </c>
      <c r="M9" t="s">
        <v>13</v>
      </c>
      <c r="N9" t="s">
        <v>82</v>
      </c>
      <c r="O9" t="s">
        <v>13</v>
      </c>
      <c r="P9" t="s">
        <v>13</v>
      </c>
      <c r="Q9">
        <v>1.385</v>
      </c>
      <c r="R9" t="s">
        <v>13</v>
      </c>
      <c r="S9" t="s">
        <v>13</v>
      </c>
      <c r="T9" s="3">
        <f t="shared" si="1"/>
        <v>735</v>
      </c>
      <c r="U9">
        <v>3035</v>
      </c>
      <c r="V9" t="s">
        <v>13</v>
      </c>
      <c r="W9" t="s">
        <v>13</v>
      </c>
      <c r="X9" t="s">
        <v>13</v>
      </c>
      <c r="Y9">
        <v>0.11600000000000001</v>
      </c>
      <c r="Z9" t="s">
        <v>13</v>
      </c>
      <c r="AA9" t="s">
        <v>3</v>
      </c>
      <c r="AB9" t="s">
        <v>13</v>
      </c>
      <c r="AC9">
        <v>25.37</v>
      </c>
      <c r="AD9" t="s">
        <v>13</v>
      </c>
      <c r="AE9" t="s">
        <v>13</v>
      </c>
      <c r="AF9">
        <v>0.11</v>
      </c>
      <c r="AG9">
        <v>0.1</v>
      </c>
      <c r="AH9" t="s">
        <v>13</v>
      </c>
      <c r="AI9" t="s">
        <v>13</v>
      </c>
      <c r="AJ9" t="s">
        <v>13</v>
      </c>
      <c r="AK9" t="s">
        <v>13</v>
      </c>
      <c r="AL9" t="s">
        <v>13</v>
      </c>
      <c r="AM9">
        <v>50.2</v>
      </c>
      <c r="AN9" t="s">
        <v>13</v>
      </c>
      <c r="AO9" t="s">
        <v>13</v>
      </c>
      <c r="AP9">
        <v>0</v>
      </c>
      <c r="AQ9">
        <f t="shared" si="2"/>
        <v>0.1588447653429603</v>
      </c>
    </row>
    <row r="10" spans="1:47" x14ac:dyDescent="0.25">
      <c r="A10" t="s">
        <v>80</v>
      </c>
      <c r="B10" t="s">
        <v>81</v>
      </c>
      <c r="C10">
        <v>0.88253945061367622</v>
      </c>
      <c r="D10">
        <v>0.1</v>
      </c>
      <c r="E10" s="3">
        <f t="shared" si="3"/>
        <v>3.370999312316211</v>
      </c>
      <c r="F10" s="3">
        <f t="shared" si="0"/>
        <v>10.999999999999998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>
        <v>291</v>
      </c>
      <c r="M10" t="s">
        <v>13</v>
      </c>
      <c r="N10" t="s">
        <v>82</v>
      </c>
      <c r="O10" t="s">
        <v>13</v>
      </c>
      <c r="P10" t="s">
        <v>13</v>
      </c>
      <c r="Q10">
        <v>1.385</v>
      </c>
      <c r="R10" t="s">
        <v>13</v>
      </c>
      <c r="S10" t="s">
        <v>13</v>
      </c>
      <c r="T10" s="3">
        <f t="shared" si="1"/>
        <v>1375</v>
      </c>
      <c r="U10">
        <v>3675</v>
      </c>
      <c r="V10" t="s">
        <v>13</v>
      </c>
      <c r="W10" t="s">
        <v>13</v>
      </c>
      <c r="X10" t="s">
        <v>13</v>
      </c>
      <c r="Y10">
        <v>0.13200000000000001</v>
      </c>
      <c r="Z10" t="s">
        <v>13</v>
      </c>
      <c r="AA10" t="s">
        <v>3</v>
      </c>
      <c r="AB10" t="s">
        <v>13</v>
      </c>
      <c r="AC10">
        <v>35</v>
      </c>
      <c r="AD10" t="s">
        <v>13</v>
      </c>
      <c r="AE10" t="s">
        <v>13</v>
      </c>
      <c r="AF10">
        <v>0.11</v>
      </c>
      <c r="AG10">
        <v>0.1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>
        <v>262</v>
      </c>
      <c r="AN10">
        <v>434.7</v>
      </c>
      <c r="AO10">
        <v>1.66</v>
      </c>
      <c r="AP10">
        <v>0</v>
      </c>
      <c r="AQ10">
        <f t="shared" si="2"/>
        <v>0.1588447653429603</v>
      </c>
    </row>
    <row r="11" spans="1:47" s="3" customFormat="1" x14ac:dyDescent="0.25">
      <c r="A11" s="3" t="s">
        <v>80</v>
      </c>
      <c r="B11" s="3" t="s">
        <v>81</v>
      </c>
      <c r="C11" s="3">
        <v>0.23362933556205601</v>
      </c>
      <c r="D11" s="3">
        <v>0.1</v>
      </c>
      <c r="E11" s="3" t="e">
        <f t="shared" si="3"/>
        <v>#NUM!</v>
      </c>
      <c r="F11" s="3">
        <f t="shared" si="0"/>
        <v>17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>
        <v>291</v>
      </c>
      <c r="M11" s="3" t="s">
        <v>13</v>
      </c>
      <c r="N11" s="3" t="s">
        <v>82</v>
      </c>
      <c r="O11" s="3" t="s">
        <v>13</v>
      </c>
      <c r="P11" s="3" t="s">
        <v>13</v>
      </c>
      <c r="Q11" s="3">
        <v>2.1800000000000002</v>
      </c>
      <c r="R11" s="3" t="s">
        <v>13</v>
      </c>
      <c r="S11" s="3" t="s">
        <v>13</v>
      </c>
      <c r="T11" s="3">
        <f t="shared" si="1"/>
        <v>-1688</v>
      </c>
      <c r="U11" s="3">
        <v>612</v>
      </c>
      <c r="V11" s="3" t="s">
        <v>13</v>
      </c>
      <c r="W11" s="3" t="s">
        <v>13</v>
      </c>
      <c r="X11" s="3" t="s">
        <v>13</v>
      </c>
      <c r="Y11" s="3">
        <v>0.14699999999999999</v>
      </c>
      <c r="Z11" s="3" t="s">
        <v>13</v>
      </c>
      <c r="AA11" s="3" t="s">
        <v>3</v>
      </c>
      <c r="AB11" s="3" t="s">
        <v>13</v>
      </c>
      <c r="AC11" s="3">
        <v>4.1100000000000003</v>
      </c>
      <c r="AD11" s="3" t="s">
        <v>13</v>
      </c>
      <c r="AE11" s="3" t="s">
        <v>13</v>
      </c>
      <c r="AF11" s="3">
        <v>0.17</v>
      </c>
      <c r="AG11" s="3">
        <v>0.1</v>
      </c>
      <c r="AH11" s="3" t="s">
        <v>13</v>
      </c>
      <c r="AI11" s="3" t="s">
        <v>13</v>
      </c>
      <c r="AJ11" s="3" t="s">
        <v>13</v>
      </c>
      <c r="AK11" s="3" t="s">
        <v>13</v>
      </c>
      <c r="AL11" s="3" t="s">
        <v>13</v>
      </c>
      <c r="AM11" s="3">
        <v>72.2</v>
      </c>
      <c r="AN11" s="3" t="s">
        <v>13</v>
      </c>
      <c r="AO11" s="3" t="s">
        <v>13</v>
      </c>
      <c r="AP11" s="3">
        <v>0</v>
      </c>
      <c r="AQ11" s="3">
        <f t="shared" si="2"/>
        <v>0.15596330275229359</v>
      </c>
    </row>
    <row r="12" spans="1:47" x14ac:dyDescent="0.25">
      <c r="A12" t="s">
        <v>80</v>
      </c>
      <c r="B12" t="s">
        <v>81</v>
      </c>
      <c r="C12">
        <v>0.81476418911108528</v>
      </c>
      <c r="D12">
        <v>0.1</v>
      </c>
      <c r="E12" s="3">
        <f t="shared" si="3"/>
        <v>3.0678599553894821</v>
      </c>
      <c r="F12" s="3">
        <f t="shared" si="0"/>
        <v>17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>
        <v>291</v>
      </c>
      <c r="M12" t="s">
        <v>13</v>
      </c>
      <c r="N12" t="s">
        <v>82</v>
      </c>
      <c r="O12" t="s">
        <v>13</v>
      </c>
      <c r="P12" t="s">
        <v>13</v>
      </c>
      <c r="Q12">
        <v>2.1800000000000002</v>
      </c>
      <c r="R12" t="s">
        <v>13</v>
      </c>
      <c r="S12" t="s">
        <v>13</v>
      </c>
      <c r="T12" s="3">
        <f t="shared" si="1"/>
        <v>2720</v>
      </c>
      <c r="U12">
        <v>5020</v>
      </c>
      <c r="V12" t="s">
        <v>13</v>
      </c>
      <c r="W12" t="s">
        <v>13</v>
      </c>
      <c r="X12" t="s">
        <v>13</v>
      </c>
      <c r="Y12">
        <v>0.13300000000000001</v>
      </c>
      <c r="Z12" t="s">
        <v>13</v>
      </c>
      <c r="AA12" t="s">
        <v>3</v>
      </c>
      <c r="AB12" t="s">
        <v>13</v>
      </c>
      <c r="AC12">
        <v>30.65</v>
      </c>
      <c r="AD12" t="s">
        <v>13</v>
      </c>
      <c r="AE12" t="s">
        <v>13</v>
      </c>
      <c r="AF12">
        <v>0.17</v>
      </c>
      <c r="AG12">
        <v>0.1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>
        <v>314.10000000000002</v>
      </c>
      <c r="AN12" t="s">
        <v>13</v>
      </c>
      <c r="AO12" t="s">
        <v>13</v>
      </c>
      <c r="AP12">
        <v>0</v>
      </c>
      <c r="AQ12">
        <f t="shared" si="2"/>
        <v>0.15596330275229359</v>
      </c>
    </row>
    <row r="13" spans="1:47" x14ac:dyDescent="0.25">
      <c r="A13" t="s">
        <v>80</v>
      </c>
      <c r="B13" t="s">
        <v>81</v>
      </c>
      <c r="C13">
        <v>0.80918408592216184</v>
      </c>
      <c r="D13">
        <v>0.1</v>
      </c>
      <c r="E13" s="3">
        <f t="shared" si="3"/>
        <v>3.0768698424992991</v>
      </c>
      <c r="F13" s="3">
        <f t="shared" si="0"/>
        <v>17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>
        <v>291</v>
      </c>
      <c r="M13" t="s">
        <v>13</v>
      </c>
      <c r="N13" t="s">
        <v>82</v>
      </c>
      <c r="O13" t="s">
        <v>13</v>
      </c>
      <c r="P13" t="s">
        <v>13</v>
      </c>
      <c r="Q13">
        <v>2.1800000000000002</v>
      </c>
      <c r="R13" t="s">
        <v>13</v>
      </c>
      <c r="S13" t="s">
        <v>13</v>
      </c>
      <c r="T13" s="3">
        <f t="shared" si="1"/>
        <v>2736</v>
      </c>
      <c r="U13">
        <v>5036</v>
      </c>
      <c r="V13" t="s">
        <v>13</v>
      </c>
      <c r="W13" t="s">
        <v>13</v>
      </c>
      <c r="X13" t="s">
        <v>13</v>
      </c>
      <c r="Y13">
        <v>0.13300000000000001</v>
      </c>
      <c r="Z13" t="s">
        <v>13</v>
      </c>
      <c r="AA13" t="s">
        <v>3</v>
      </c>
      <c r="AB13" t="s">
        <v>13</v>
      </c>
      <c r="AC13">
        <v>30.77</v>
      </c>
      <c r="AD13" t="s">
        <v>13</v>
      </c>
      <c r="AE13" t="s">
        <v>13</v>
      </c>
      <c r="AF13">
        <v>0.17</v>
      </c>
      <c r="AG13">
        <v>0.1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>
        <v>277.3</v>
      </c>
      <c r="AN13">
        <v>599</v>
      </c>
      <c r="AO13">
        <v>2.16</v>
      </c>
      <c r="AP13">
        <v>0</v>
      </c>
      <c r="AQ13">
        <f t="shared" si="2"/>
        <v>0.15596330275229359</v>
      </c>
    </row>
    <row r="14" spans="1:47" x14ac:dyDescent="0.25">
      <c r="A14" t="s">
        <v>80</v>
      </c>
      <c r="B14" t="s">
        <v>81</v>
      </c>
      <c r="C14">
        <v>0.89828606586194759</v>
      </c>
      <c r="D14">
        <v>0.1</v>
      </c>
      <c r="E14" s="3">
        <f t="shared" si="3"/>
        <v>2.8883491052213923</v>
      </c>
      <c r="F14" s="3">
        <f t="shared" si="0"/>
        <v>17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>
        <v>291</v>
      </c>
      <c r="M14" t="s">
        <v>13</v>
      </c>
      <c r="N14" t="s">
        <v>82</v>
      </c>
      <c r="O14" t="s">
        <v>13</v>
      </c>
      <c r="P14" t="s">
        <v>13</v>
      </c>
      <c r="Q14">
        <v>2.1800000000000002</v>
      </c>
      <c r="R14" t="s">
        <v>13</v>
      </c>
      <c r="S14" t="s">
        <v>13</v>
      </c>
      <c r="T14" s="3">
        <f t="shared" si="1"/>
        <v>2411</v>
      </c>
      <c r="U14">
        <v>4711</v>
      </c>
      <c r="V14" t="s">
        <v>13</v>
      </c>
      <c r="W14" t="s">
        <v>13</v>
      </c>
      <c r="X14" t="s">
        <v>13</v>
      </c>
      <c r="Y14">
        <v>0.13200000000000001</v>
      </c>
      <c r="Z14" t="s">
        <v>13</v>
      </c>
      <c r="AA14" t="s">
        <v>3</v>
      </c>
      <c r="AB14" t="s">
        <v>13</v>
      </c>
      <c r="AC14">
        <v>28.48</v>
      </c>
      <c r="AD14" t="s">
        <v>13</v>
      </c>
      <c r="AE14" t="s">
        <v>13</v>
      </c>
      <c r="AF14">
        <v>0.17</v>
      </c>
      <c r="AG14">
        <v>0.1</v>
      </c>
      <c r="AH14" t="s">
        <v>13</v>
      </c>
      <c r="AI14" t="s">
        <v>13</v>
      </c>
      <c r="AJ14" t="s">
        <v>13</v>
      </c>
      <c r="AK14" t="s">
        <v>13</v>
      </c>
      <c r="AL14" t="s">
        <v>13</v>
      </c>
      <c r="AM14">
        <v>271.5</v>
      </c>
      <c r="AN14">
        <v>610</v>
      </c>
      <c r="AO14">
        <v>2.2400000000000002</v>
      </c>
      <c r="AP14">
        <v>0</v>
      </c>
      <c r="AQ14">
        <f t="shared" si="2"/>
        <v>0.15596330275229359</v>
      </c>
    </row>
    <row r="15" spans="1:47" x14ac:dyDescent="0.25">
      <c r="A15" t="s">
        <v>80</v>
      </c>
      <c r="B15" t="s">
        <v>81</v>
      </c>
      <c r="C15">
        <v>1.7323901464713711</v>
      </c>
      <c r="D15">
        <v>0.1</v>
      </c>
      <c r="E15" s="3">
        <f t="shared" si="3"/>
        <v>1.8130629420496991</v>
      </c>
      <c r="F15" s="3">
        <f t="shared" si="0"/>
        <v>17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>
        <v>291</v>
      </c>
      <c r="M15" t="s">
        <v>13</v>
      </c>
      <c r="N15" t="s">
        <v>82</v>
      </c>
      <c r="O15" t="s">
        <v>13</v>
      </c>
      <c r="P15" t="s">
        <v>13</v>
      </c>
      <c r="Q15">
        <v>2.1800000000000002</v>
      </c>
      <c r="R15" t="s">
        <v>13</v>
      </c>
      <c r="S15" t="s">
        <v>13</v>
      </c>
      <c r="T15" s="3">
        <f t="shared" si="1"/>
        <v>950</v>
      </c>
      <c r="U15">
        <v>3250</v>
      </c>
      <c r="V15" t="s">
        <v>13</v>
      </c>
      <c r="W15" t="s">
        <v>13</v>
      </c>
      <c r="X15" t="s">
        <v>13</v>
      </c>
      <c r="Y15">
        <v>0.11799999999999999</v>
      </c>
      <c r="Z15" t="s">
        <v>13</v>
      </c>
      <c r="AA15" t="s">
        <v>3</v>
      </c>
      <c r="AB15" t="s">
        <v>13</v>
      </c>
      <c r="AC15">
        <v>17.600000000000001</v>
      </c>
      <c r="AD15" t="s">
        <v>13</v>
      </c>
      <c r="AE15" t="s">
        <v>13</v>
      </c>
      <c r="AF15">
        <v>0.17</v>
      </c>
      <c r="AG15">
        <v>0.1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>
        <v>153.6</v>
      </c>
      <c r="AN15">
        <v>296</v>
      </c>
      <c r="AO15">
        <v>1.93</v>
      </c>
      <c r="AP15">
        <v>0</v>
      </c>
      <c r="AQ15">
        <f t="shared" si="2"/>
        <v>0.15596330275229359</v>
      </c>
    </row>
    <row r="16" spans="1:47" x14ac:dyDescent="0.25">
      <c r="A16" t="s">
        <v>80</v>
      </c>
      <c r="B16" t="s">
        <v>81</v>
      </c>
      <c r="C16">
        <v>2.2553149606299212</v>
      </c>
      <c r="D16">
        <v>0.1</v>
      </c>
      <c r="E16" s="3">
        <f t="shared" si="3"/>
        <v>1.6375777537735359</v>
      </c>
      <c r="F16" s="3">
        <f t="shared" si="0"/>
        <v>17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>
        <v>291</v>
      </c>
      <c r="M16" t="s">
        <v>13</v>
      </c>
      <c r="N16" t="s">
        <v>82</v>
      </c>
      <c r="O16" t="s">
        <v>13</v>
      </c>
      <c r="P16" t="s">
        <v>13</v>
      </c>
      <c r="Q16">
        <v>2.1800000000000002</v>
      </c>
      <c r="R16" t="s">
        <v>13</v>
      </c>
      <c r="S16" t="s">
        <v>13</v>
      </c>
      <c r="T16" s="3">
        <f t="shared" si="1"/>
        <v>775</v>
      </c>
      <c r="U16">
        <v>3075</v>
      </c>
      <c r="V16" t="s">
        <v>13</v>
      </c>
      <c r="W16" t="s">
        <v>13</v>
      </c>
      <c r="X16" t="s">
        <v>13</v>
      </c>
      <c r="Y16">
        <v>0.112</v>
      </c>
      <c r="Z16" t="s">
        <v>13</v>
      </c>
      <c r="AA16" t="s">
        <v>3</v>
      </c>
      <c r="AB16" t="s">
        <v>13</v>
      </c>
      <c r="AC16">
        <v>15.8</v>
      </c>
      <c r="AD16" t="s">
        <v>13</v>
      </c>
      <c r="AE16" t="s">
        <v>13</v>
      </c>
      <c r="AF16">
        <v>0.17</v>
      </c>
      <c r="AG16">
        <v>0.1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>
        <v>54.7</v>
      </c>
      <c r="AN16">
        <v>126.6</v>
      </c>
      <c r="AO16">
        <v>2.31</v>
      </c>
      <c r="AP16">
        <v>0</v>
      </c>
      <c r="AQ16">
        <f t="shared" si="2"/>
        <v>0.15596330275229359</v>
      </c>
    </row>
    <row r="17" spans="1:43" s="3" customFormat="1" x14ac:dyDescent="0.25">
      <c r="A17" s="3" t="s">
        <v>80</v>
      </c>
      <c r="B17" s="3" t="s">
        <v>81</v>
      </c>
      <c r="C17" s="3">
        <v>2.1821448823362632</v>
      </c>
      <c r="D17" s="3">
        <v>0.1</v>
      </c>
      <c r="E17" s="3">
        <v>0</v>
      </c>
      <c r="F17" s="3">
        <f t="shared" si="0"/>
        <v>17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>
        <v>291</v>
      </c>
      <c r="M17" s="3" t="s">
        <v>13</v>
      </c>
      <c r="N17" s="3" t="s">
        <v>82</v>
      </c>
      <c r="O17" s="3" t="s">
        <v>13</v>
      </c>
      <c r="P17" s="3" t="s">
        <v>13</v>
      </c>
      <c r="Q17" s="3">
        <v>2.1800000000000002</v>
      </c>
      <c r="R17" s="3" t="s">
        <v>13</v>
      </c>
      <c r="S17" s="3" t="s">
        <v>13</v>
      </c>
      <c r="T17" s="3">
        <f t="shared" si="1"/>
        <v>-1184</v>
      </c>
      <c r="U17" s="3">
        <v>1116</v>
      </c>
      <c r="V17" s="3" t="s">
        <v>13</v>
      </c>
      <c r="W17" s="3" t="s">
        <v>13</v>
      </c>
      <c r="X17" s="3" t="s">
        <v>13</v>
      </c>
      <c r="Y17" s="3">
        <v>0.113</v>
      </c>
      <c r="Z17" s="3" t="s">
        <v>13</v>
      </c>
      <c r="AA17" s="3" t="s">
        <v>3</v>
      </c>
      <c r="AB17" s="3" t="s">
        <v>13</v>
      </c>
      <c r="AC17" s="3">
        <v>5.76</v>
      </c>
      <c r="AD17" s="3" t="s">
        <v>13</v>
      </c>
      <c r="AE17" s="3" t="s">
        <v>13</v>
      </c>
      <c r="AF17" s="3">
        <v>0.17</v>
      </c>
      <c r="AG17" s="3">
        <v>0.1</v>
      </c>
      <c r="AH17" s="3" t="s">
        <v>13</v>
      </c>
      <c r="AI17" s="3" t="s">
        <v>13</v>
      </c>
      <c r="AJ17" s="3" t="s">
        <v>13</v>
      </c>
      <c r="AK17" s="3" t="s">
        <v>13</v>
      </c>
      <c r="AL17" s="3" t="s">
        <v>13</v>
      </c>
      <c r="AM17" s="3">
        <v>76.2</v>
      </c>
      <c r="AN17" s="3">
        <v>96</v>
      </c>
      <c r="AO17" s="3">
        <v>1.26</v>
      </c>
      <c r="AP17" s="3">
        <v>0</v>
      </c>
      <c r="AQ17" s="3">
        <f t="shared" si="2"/>
        <v>0.15596330275229359</v>
      </c>
    </row>
    <row r="18" spans="1:43" s="3" customFormat="1" x14ac:dyDescent="0.25">
      <c r="A18" s="3" t="s">
        <v>80</v>
      </c>
      <c r="B18" s="3" t="s">
        <v>81</v>
      </c>
      <c r="C18" s="3">
        <v>1.9888616595333426</v>
      </c>
      <c r="D18" s="3">
        <v>0.1</v>
      </c>
      <c r="E18" s="3">
        <v>0</v>
      </c>
      <c r="F18" s="3">
        <f t="shared" si="0"/>
        <v>17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>
        <v>291</v>
      </c>
      <c r="M18" s="3" t="s">
        <v>13</v>
      </c>
      <c r="N18" s="3" t="s">
        <v>82</v>
      </c>
      <c r="O18" s="3" t="s">
        <v>13</v>
      </c>
      <c r="P18" s="3" t="s">
        <v>13</v>
      </c>
      <c r="Q18" s="3">
        <v>2.1800000000000002</v>
      </c>
      <c r="R18" s="3" t="s">
        <v>13</v>
      </c>
      <c r="S18" s="3" t="s">
        <v>13</v>
      </c>
      <c r="T18" s="3">
        <f t="shared" si="1"/>
        <v>-1091</v>
      </c>
      <c r="U18" s="3">
        <v>1209</v>
      </c>
      <c r="V18" s="3" t="s">
        <v>13</v>
      </c>
      <c r="W18" s="3" t="s">
        <v>13</v>
      </c>
      <c r="X18" s="3" t="s">
        <v>13</v>
      </c>
      <c r="Y18" s="3">
        <v>0.115</v>
      </c>
      <c r="Z18" s="3" t="s">
        <v>13</v>
      </c>
      <c r="AA18" s="3" t="s">
        <v>3</v>
      </c>
      <c r="AB18" s="3" t="s">
        <v>13</v>
      </c>
      <c r="AC18" s="3">
        <v>6.38</v>
      </c>
      <c r="AD18" s="3" t="s">
        <v>13</v>
      </c>
      <c r="AE18" s="3" t="s">
        <v>13</v>
      </c>
      <c r="AF18" s="3">
        <v>0.17</v>
      </c>
      <c r="AG18" s="3">
        <v>0.1</v>
      </c>
      <c r="AH18" s="3" t="s">
        <v>13</v>
      </c>
      <c r="AI18" s="3" t="s">
        <v>13</v>
      </c>
      <c r="AJ18" s="3" t="s">
        <v>13</v>
      </c>
      <c r="AK18" s="3" t="s">
        <v>13</v>
      </c>
      <c r="AL18" s="3" t="s">
        <v>13</v>
      </c>
      <c r="AM18" s="3">
        <v>100.8</v>
      </c>
      <c r="AN18" s="3">
        <v>128</v>
      </c>
      <c r="AO18" s="3">
        <v>1.27</v>
      </c>
      <c r="AP18" s="3">
        <v>0</v>
      </c>
      <c r="AQ18" s="3">
        <f t="shared" si="2"/>
        <v>0.15596330275229359</v>
      </c>
    </row>
    <row r="19" spans="1:43" s="3" customFormat="1" x14ac:dyDescent="0.25">
      <c r="A19" s="3" t="s">
        <v>80</v>
      </c>
      <c r="B19" s="3" t="s">
        <v>81</v>
      </c>
      <c r="C19" s="3">
        <v>1.83676510339235</v>
      </c>
      <c r="D19" s="3">
        <v>0.1</v>
      </c>
      <c r="E19" s="3">
        <v>0</v>
      </c>
      <c r="F19" s="3">
        <f t="shared" si="0"/>
        <v>17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>
        <v>291</v>
      </c>
      <c r="M19" s="3" t="s">
        <v>13</v>
      </c>
      <c r="N19" s="3" t="s">
        <v>82</v>
      </c>
      <c r="O19" s="3" t="s">
        <v>13</v>
      </c>
      <c r="P19" s="3" t="s">
        <v>13</v>
      </c>
      <c r="Q19" s="3">
        <v>2.1800000000000002</v>
      </c>
      <c r="R19" s="3" t="s">
        <v>13</v>
      </c>
      <c r="S19" s="3" t="s">
        <v>13</v>
      </c>
      <c r="T19" s="3">
        <f t="shared" si="1"/>
        <v>-1375</v>
      </c>
      <c r="U19" s="3">
        <v>925</v>
      </c>
      <c r="V19" s="3" t="s">
        <v>13</v>
      </c>
      <c r="W19" s="3" t="s">
        <v>13</v>
      </c>
      <c r="X19" s="3" t="s">
        <v>13</v>
      </c>
      <c r="Y19" s="3">
        <v>0.11700000000000001</v>
      </c>
      <c r="Z19" s="3" t="s">
        <v>13</v>
      </c>
      <c r="AA19" s="3" t="s">
        <v>3</v>
      </c>
      <c r="AB19" s="3" t="s">
        <v>13</v>
      </c>
      <c r="AC19" s="3">
        <v>4.97</v>
      </c>
      <c r="AD19" s="3" t="s">
        <v>13</v>
      </c>
      <c r="AE19" s="3" t="s">
        <v>13</v>
      </c>
      <c r="AF19" s="3">
        <v>0.17</v>
      </c>
      <c r="AG19" s="3">
        <v>0.1</v>
      </c>
      <c r="AH19" s="3" t="s">
        <v>13</v>
      </c>
      <c r="AI19" s="3" t="s">
        <v>13</v>
      </c>
      <c r="AJ19" s="3" t="s">
        <v>13</v>
      </c>
      <c r="AK19" s="3" t="s">
        <v>13</v>
      </c>
      <c r="AL19" s="3" t="s">
        <v>13</v>
      </c>
      <c r="AM19" s="3">
        <v>145.19999999999999</v>
      </c>
      <c r="AN19" s="3">
        <v>167.5</v>
      </c>
      <c r="AO19" s="3">
        <v>1.1499999999999999</v>
      </c>
      <c r="AP19" s="3">
        <v>0</v>
      </c>
      <c r="AQ19" s="3">
        <f t="shared" si="2"/>
        <v>0.15596330275229359</v>
      </c>
    </row>
    <row r="20" spans="1:43" x14ac:dyDescent="0.25">
      <c r="A20" t="s">
        <v>80</v>
      </c>
      <c r="B20" t="s">
        <v>81</v>
      </c>
      <c r="C20">
        <v>1.9276351813826147</v>
      </c>
      <c r="D20">
        <v>0.1</v>
      </c>
      <c r="E20" s="3">
        <f t="shared" si="3"/>
        <v>4.891104424803367</v>
      </c>
      <c r="F20" s="3">
        <f t="shared" si="0"/>
        <v>20.999999999999996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>
        <v>291</v>
      </c>
      <c r="M20" t="s">
        <v>13</v>
      </c>
      <c r="N20" t="s">
        <v>82</v>
      </c>
      <c r="O20" t="s">
        <v>13</v>
      </c>
      <c r="P20" t="s">
        <v>13</v>
      </c>
      <c r="Q20">
        <v>2.72</v>
      </c>
      <c r="R20" t="s">
        <v>13</v>
      </c>
      <c r="S20" t="s">
        <v>13</v>
      </c>
      <c r="T20" s="3">
        <f t="shared" si="1"/>
        <v>10550</v>
      </c>
      <c r="U20">
        <v>12850</v>
      </c>
      <c r="V20" t="s">
        <v>13</v>
      </c>
      <c r="W20" t="s">
        <v>13</v>
      </c>
      <c r="X20" t="s">
        <v>13</v>
      </c>
      <c r="Y20">
        <v>0.11600000000000001</v>
      </c>
      <c r="Z20" t="s">
        <v>13</v>
      </c>
      <c r="AA20" t="s">
        <v>3</v>
      </c>
      <c r="AB20" t="s">
        <v>13</v>
      </c>
      <c r="AC20">
        <v>54.7</v>
      </c>
      <c r="AD20" t="s">
        <v>13</v>
      </c>
      <c r="AE20" t="s">
        <v>13</v>
      </c>
      <c r="AF20">
        <v>0.21</v>
      </c>
      <c r="AG20">
        <v>0.1</v>
      </c>
      <c r="AH20" t="s">
        <v>13</v>
      </c>
      <c r="AI20" t="s">
        <v>13</v>
      </c>
      <c r="AJ20" t="s">
        <v>13</v>
      </c>
      <c r="AK20" t="s">
        <v>13</v>
      </c>
      <c r="AL20" t="s">
        <v>13</v>
      </c>
      <c r="AM20">
        <v>127</v>
      </c>
      <c r="AN20">
        <v>385</v>
      </c>
      <c r="AO20">
        <v>3.03</v>
      </c>
      <c r="AP20">
        <v>0</v>
      </c>
      <c r="AQ20">
        <f t="shared" si="2"/>
        <v>0.15441176470588233</v>
      </c>
    </row>
    <row r="21" spans="1:43" x14ac:dyDescent="0.25">
      <c r="A21" t="s">
        <v>80</v>
      </c>
      <c r="B21" t="s">
        <v>81</v>
      </c>
      <c r="C21">
        <v>1.3747221169635</v>
      </c>
      <c r="D21">
        <v>0.1</v>
      </c>
      <c r="E21" s="3">
        <f t="shared" si="3"/>
        <v>5.5307837745655668</v>
      </c>
      <c r="F21" s="3">
        <f t="shared" si="0"/>
        <v>20.999999999999996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>
        <v>291</v>
      </c>
      <c r="M21" t="s">
        <v>13</v>
      </c>
      <c r="N21" t="s">
        <v>82</v>
      </c>
      <c r="O21" t="s">
        <v>13</v>
      </c>
      <c r="P21" t="s">
        <v>13</v>
      </c>
      <c r="Q21">
        <v>2.72</v>
      </c>
      <c r="R21" t="s">
        <v>13</v>
      </c>
      <c r="S21" t="s">
        <v>13</v>
      </c>
      <c r="T21" s="3">
        <f t="shared" si="1"/>
        <v>13490</v>
      </c>
      <c r="U21">
        <v>15790</v>
      </c>
      <c r="V21" t="s">
        <v>13</v>
      </c>
      <c r="W21" t="s">
        <v>13</v>
      </c>
      <c r="X21" t="s">
        <v>13</v>
      </c>
      <c r="Y21">
        <v>0.123</v>
      </c>
      <c r="Z21" t="s">
        <v>13</v>
      </c>
      <c r="AA21" t="s">
        <v>3</v>
      </c>
      <c r="AB21" t="s">
        <v>13</v>
      </c>
      <c r="AC21">
        <v>71.5</v>
      </c>
      <c r="AD21" t="s">
        <v>13</v>
      </c>
      <c r="AE21" t="s">
        <v>13</v>
      </c>
      <c r="AF21">
        <v>0.21</v>
      </c>
      <c r="AG21">
        <v>0.1</v>
      </c>
      <c r="AH21" t="s">
        <v>13</v>
      </c>
      <c r="AI21" t="s">
        <v>13</v>
      </c>
      <c r="AJ21" t="s">
        <v>13</v>
      </c>
      <c r="AK21" t="s">
        <v>13</v>
      </c>
      <c r="AL21" t="s">
        <v>13</v>
      </c>
      <c r="AM21">
        <v>237</v>
      </c>
      <c r="AN21">
        <v>725.9</v>
      </c>
      <c r="AO21">
        <v>3.06</v>
      </c>
      <c r="AP21">
        <v>0</v>
      </c>
      <c r="AQ21">
        <f t="shared" si="2"/>
        <v>0.15441176470588233</v>
      </c>
    </row>
    <row r="22" spans="1:43" x14ac:dyDescent="0.25">
      <c r="A22" t="s">
        <v>80</v>
      </c>
      <c r="B22" t="s">
        <v>81</v>
      </c>
      <c r="C22">
        <v>1.2713322143478802</v>
      </c>
      <c r="D22">
        <v>0.1</v>
      </c>
      <c r="E22" s="3">
        <f t="shared" si="3"/>
        <v>5.7142857142857153</v>
      </c>
      <c r="F22" s="3">
        <f t="shared" si="0"/>
        <v>20.999999999999996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>
        <v>291</v>
      </c>
      <c r="M22" t="s">
        <v>13</v>
      </c>
      <c r="N22" t="s">
        <v>82</v>
      </c>
      <c r="O22" t="s">
        <v>13</v>
      </c>
      <c r="P22" t="s">
        <v>13</v>
      </c>
      <c r="Q22">
        <v>2.72</v>
      </c>
      <c r="R22" t="s">
        <v>13</v>
      </c>
      <c r="S22" t="s">
        <v>13</v>
      </c>
      <c r="T22" s="3">
        <f t="shared" si="1"/>
        <v>14400</v>
      </c>
      <c r="U22">
        <v>16700</v>
      </c>
      <c r="V22" t="s">
        <v>13</v>
      </c>
      <c r="W22" t="s">
        <v>13</v>
      </c>
      <c r="X22" t="s">
        <v>13</v>
      </c>
      <c r="Y22">
        <v>0.125</v>
      </c>
      <c r="Z22" t="s">
        <v>13</v>
      </c>
      <c r="AA22" t="s">
        <v>3</v>
      </c>
      <c r="AB22" t="s">
        <v>13</v>
      </c>
      <c r="AC22">
        <v>76.900000000000006</v>
      </c>
      <c r="AD22" t="s">
        <v>13</v>
      </c>
      <c r="AE22" t="s">
        <v>13</v>
      </c>
      <c r="AF22">
        <v>0.21</v>
      </c>
      <c r="AG22">
        <v>0.1</v>
      </c>
      <c r="AH22" t="s">
        <v>13</v>
      </c>
      <c r="AI22" t="s">
        <v>13</v>
      </c>
      <c r="AJ22" t="s">
        <v>13</v>
      </c>
      <c r="AK22" t="s">
        <v>13</v>
      </c>
      <c r="AL22" t="s">
        <v>13</v>
      </c>
      <c r="AM22">
        <v>283</v>
      </c>
      <c r="AN22">
        <v>1011</v>
      </c>
      <c r="AO22">
        <v>3.58</v>
      </c>
      <c r="AP22">
        <v>0</v>
      </c>
      <c r="AQ22">
        <f t="shared" si="2"/>
        <v>0.15441176470588233</v>
      </c>
    </row>
    <row r="23" spans="1:43" x14ac:dyDescent="0.25">
      <c r="A23" t="s">
        <v>80</v>
      </c>
      <c r="B23" t="s">
        <v>81</v>
      </c>
      <c r="C23">
        <v>1.2463896457765669</v>
      </c>
      <c r="D23">
        <v>0.1</v>
      </c>
      <c r="E23" s="3">
        <f t="shared" si="3"/>
        <v>5.8321184351980442</v>
      </c>
      <c r="F23" s="3">
        <f t="shared" si="0"/>
        <v>20.999999999999996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>
        <v>291</v>
      </c>
      <c r="M23" t="s">
        <v>13</v>
      </c>
      <c r="N23" t="s">
        <v>82</v>
      </c>
      <c r="O23" t="s">
        <v>13</v>
      </c>
      <c r="P23" t="s">
        <v>13</v>
      </c>
      <c r="Q23">
        <v>2.72</v>
      </c>
      <c r="R23" t="s">
        <v>13</v>
      </c>
      <c r="S23" t="s">
        <v>13</v>
      </c>
      <c r="T23" s="3">
        <f t="shared" si="1"/>
        <v>15000</v>
      </c>
      <c r="U23">
        <v>17300</v>
      </c>
      <c r="V23" t="s">
        <v>13</v>
      </c>
      <c r="W23" t="s">
        <v>13</v>
      </c>
      <c r="X23" t="s">
        <v>13</v>
      </c>
      <c r="Y23">
        <v>0.126</v>
      </c>
      <c r="Z23" t="s">
        <v>13</v>
      </c>
      <c r="AA23" t="s">
        <v>3</v>
      </c>
      <c r="AB23" t="s">
        <v>13</v>
      </c>
      <c r="AC23">
        <v>79.900000000000006</v>
      </c>
      <c r="AD23" t="s">
        <v>13</v>
      </c>
      <c r="AE23" t="s">
        <v>13</v>
      </c>
      <c r="AF23">
        <v>0.21</v>
      </c>
      <c r="AG23">
        <v>0.1</v>
      </c>
      <c r="AH23" t="s">
        <v>13</v>
      </c>
      <c r="AI23" t="s">
        <v>13</v>
      </c>
      <c r="AJ23" t="s">
        <v>13</v>
      </c>
      <c r="AK23" t="s">
        <v>13</v>
      </c>
      <c r="AL23" t="s">
        <v>13</v>
      </c>
      <c r="AM23">
        <v>290.10000000000002</v>
      </c>
      <c r="AN23">
        <v>1046</v>
      </c>
      <c r="AO23">
        <v>3.61</v>
      </c>
      <c r="AP23">
        <v>0</v>
      </c>
      <c r="AQ23">
        <f t="shared" si="2"/>
        <v>0.15441176470588233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F713-5878-4964-9374-D8B36CE1CEC0}">
  <dimension ref="A1:C14"/>
  <sheetViews>
    <sheetView workbookViewId="0">
      <selection sqref="A1:C14"/>
    </sheetView>
  </sheetViews>
  <sheetFormatPr defaultRowHeight="15" x14ac:dyDescent="0.25"/>
  <sheetData>
    <row r="1" spans="1:3" x14ac:dyDescent="0.25">
      <c r="A1" t="s">
        <v>95</v>
      </c>
      <c r="B1" t="s">
        <v>45</v>
      </c>
      <c r="C1" t="s">
        <v>94</v>
      </c>
    </row>
    <row r="2" spans="1:3" x14ac:dyDescent="0.25">
      <c r="A2">
        <v>3969.8981951639998</v>
      </c>
      <c r="B2">
        <v>2.8673077668959999</v>
      </c>
      <c r="C2" t="s">
        <v>13</v>
      </c>
    </row>
    <row r="3" spans="1:3" x14ac:dyDescent="0.25">
      <c r="A3">
        <v>6020.7546683520004</v>
      </c>
      <c r="B3">
        <v>3.3323916118389998</v>
      </c>
      <c r="C3" t="s">
        <v>13</v>
      </c>
    </row>
    <row r="4" spans="1:3" x14ac:dyDescent="0.25">
      <c r="A4">
        <v>16685.65381154</v>
      </c>
      <c r="B4">
        <v>5.0955617794629999</v>
      </c>
      <c r="C4" t="s">
        <v>13</v>
      </c>
    </row>
    <row r="5" spans="1:3" x14ac:dyDescent="0.25">
      <c r="A5">
        <v>23390.985326900001</v>
      </c>
      <c r="B5">
        <v>5.9499610597060002</v>
      </c>
      <c r="C5" t="s">
        <v>13</v>
      </c>
    </row>
    <row r="6" spans="1:3" x14ac:dyDescent="0.25">
      <c r="A6">
        <v>2753.4314748420002</v>
      </c>
      <c r="B6" t="s">
        <v>13</v>
      </c>
      <c r="C6">
        <v>1.4032857913400001</v>
      </c>
    </row>
    <row r="7" spans="1:3" x14ac:dyDescent="0.25">
      <c r="A7">
        <v>3164.2967937650001</v>
      </c>
      <c r="B7" t="s">
        <v>13</v>
      </c>
      <c r="C7">
        <v>1.9271510399180001</v>
      </c>
    </row>
    <row r="8" spans="1:3" x14ac:dyDescent="0.25">
      <c r="A8">
        <v>3679.3144765440002</v>
      </c>
      <c r="B8" t="s">
        <v>13</v>
      </c>
      <c r="C8">
        <v>1.6546994656680001</v>
      </c>
    </row>
    <row r="9" spans="1:3" x14ac:dyDescent="0.25">
      <c r="A9">
        <v>4663.6759789790003</v>
      </c>
      <c r="B9" t="s">
        <v>13</v>
      </c>
      <c r="C9">
        <v>2.2535615963929998</v>
      </c>
    </row>
    <row r="10" spans="1:3" x14ac:dyDescent="0.25">
      <c r="A10">
        <v>5033.8935542150002</v>
      </c>
      <c r="B10" t="s">
        <v>13</v>
      </c>
      <c r="C10">
        <v>2.1519262812390001</v>
      </c>
    </row>
    <row r="11" spans="1:3" x14ac:dyDescent="0.25">
      <c r="A11">
        <v>12784.369172750001</v>
      </c>
      <c r="B11" t="s">
        <v>13</v>
      </c>
      <c r="C11">
        <v>3.0000839359590001</v>
      </c>
    </row>
    <row r="12" spans="1:3" x14ac:dyDescent="0.25">
      <c r="A12">
        <v>15792.022976779999</v>
      </c>
      <c r="B12" t="s">
        <v>13</v>
      </c>
      <c r="C12">
        <v>3.0210141333220002</v>
      </c>
    </row>
    <row r="13" spans="1:3" x14ac:dyDescent="0.25">
      <c r="A13">
        <v>16708.71397013</v>
      </c>
      <c r="B13" t="s">
        <v>13</v>
      </c>
      <c r="C13">
        <v>3.5659084280869999</v>
      </c>
    </row>
    <row r="14" spans="1:3" x14ac:dyDescent="0.25">
      <c r="A14">
        <v>17318.621344210002</v>
      </c>
      <c r="B14" t="s">
        <v>13</v>
      </c>
      <c r="C14">
        <v>3.5960029278849999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BBE-81F9-41B3-9ABD-4AE376CC7036}">
  <dimension ref="A1:E10"/>
  <sheetViews>
    <sheetView workbookViewId="0">
      <selection activeCell="G9" sqref="G9"/>
    </sheetView>
  </sheetViews>
  <sheetFormatPr defaultRowHeight="15" x14ac:dyDescent="0.25"/>
  <sheetData>
    <row r="1" spans="1:5" x14ac:dyDescent="0.25">
      <c r="A1" t="s">
        <v>17</v>
      </c>
      <c r="B1" t="s">
        <v>97</v>
      </c>
      <c r="C1" t="s">
        <v>98</v>
      </c>
      <c r="D1" t="s">
        <v>26</v>
      </c>
      <c r="E1" t="s">
        <v>96</v>
      </c>
    </row>
    <row r="2" spans="1:5" x14ac:dyDescent="0.25">
      <c r="A2">
        <v>0.1977490275995</v>
      </c>
      <c r="B2" t="s">
        <v>99</v>
      </c>
      <c r="C2" t="s">
        <v>100</v>
      </c>
      <c r="D2">
        <v>2.72</v>
      </c>
      <c r="E2">
        <v>10.45373557145</v>
      </c>
    </row>
    <row r="3" spans="1:5" x14ac:dyDescent="0.25">
      <c r="A3">
        <v>0.20145835578589999</v>
      </c>
      <c r="B3" t="s">
        <v>99</v>
      </c>
      <c r="C3" t="s">
        <v>100</v>
      </c>
      <c r="D3">
        <v>2.72</v>
      </c>
      <c r="E3">
        <v>10.095511491749999</v>
      </c>
    </row>
    <row r="4" spans="1:5" x14ac:dyDescent="0.25">
      <c r="A4">
        <v>0.21414707985930001</v>
      </c>
      <c r="B4" t="s">
        <v>99</v>
      </c>
      <c r="C4" t="s">
        <v>100</v>
      </c>
      <c r="D4">
        <v>2.72</v>
      </c>
      <c r="E4">
        <v>7.2853265851979998</v>
      </c>
    </row>
    <row r="5" spans="1:5" x14ac:dyDescent="0.25">
      <c r="A5">
        <v>0.27802301429449999</v>
      </c>
      <c r="B5" t="s">
        <v>99</v>
      </c>
      <c r="C5" t="s">
        <v>100</v>
      </c>
      <c r="D5">
        <v>2.72</v>
      </c>
      <c r="E5">
        <v>3.8569413088599998</v>
      </c>
    </row>
    <row r="6" spans="1:5" x14ac:dyDescent="0.25">
      <c r="A6">
        <v>0.13773207794879999</v>
      </c>
      <c r="B6" t="s">
        <v>99</v>
      </c>
      <c r="C6" t="s">
        <v>100</v>
      </c>
      <c r="D6">
        <v>2.1800000000000002</v>
      </c>
      <c r="E6">
        <v>598.30307543080005</v>
      </c>
    </row>
    <row r="7" spans="1:5" x14ac:dyDescent="0.25">
      <c r="A7">
        <v>0.15129400295879999</v>
      </c>
      <c r="B7" t="s">
        <v>99</v>
      </c>
      <c r="C7" t="s">
        <v>100</v>
      </c>
      <c r="D7">
        <v>2.1800000000000002</v>
      </c>
      <c r="E7">
        <v>612.99860455810006</v>
      </c>
    </row>
    <row r="8" spans="1:5" x14ac:dyDescent="0.25">
      <c r="A8">
        <v>0.25708529691280002</v>
      </c>
      <c r="B8" t="s">
        <v>99</v>
      </c>
      <c r="C8" t="s">
        <v>100</v>
      </c>
      <c r="D8">
        <v>2.1800000000000002</v>
      </c>
      <c r="E8">
        <v>298.6742601848</v>
      </c>
    </row>
    <row r="9" spans="1:5" x14ac:dyDescent="0.25">
      <c r="A9">
        <v>0.30932426739300001</v>
      </c>
      <c r="B9" t="s">
        <v>99</v>
      </c>
      <c r="C9" t="s">
        <v>100</v>
      </c>
      <c r="D9">
        <v>2.1800000000000002</v>
      </c>
      <c r="E9">
        <v>127.1195811155</v>
      </c>
    </row>
    <row r="10" spans="1:5" x14ac:dyDescent="0.25">
      <c r="B10" t="s">
        <v>99</v>
      </c>
      <c r="C10" t="s">
        <v>100</v>
      </c>
      <c r="D10">
        <v>0.13850000000000001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8C18-A7FE-4ED0-988D-EFBE114D3057}">
  <dimension ref="A1:F4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34</v>
      </c>
      <c r="B1" t="s">
        <v>39</v>
      </c>
      <c r="C1" t="s">
        <v>35</v>
      </c>
      <c r="D1" t="s">
        <v>36</v>
      </c>
      <c r="E1" t="s">
        <v>38</v>
      </c>
      <c r="F1" t="s">
        <v>37</v>
      </c>
    </row>
    <row r="2" spans="1:6" x14ac:dyDescent="0.25">
      <c r="A2">
        <v>1</v>
      </c>
      <c r="B2">
        <v>500</v>
      </c>
      <c r="C2">
        <v>1.385</v>
      </c>
      <c r="D2">
        <v>2</v>
      </c>
      <c r="E2">
        <v>0.3</v>
      </c>
      <c r="F2">
        <f>B2/C2</f>
        <v>361.01083032490976</v>
      </c>
    </row>
    <row r="3" spans="1:6" x14ac:dyDescent="0.25">
      <c r="A3">
        <v>2</v>
      </c>
      <c r="B3">
        <v>500</v>
      </c>
      <c r="C3">
        <v>2.1800000000000002</v>
      </c>
      <c r="D3">
        <v>4</v>
      </c>
      <c r="E3">
        <v>0.11</v>
      </c>
      <c r="F3">
        <f t="shared" ref="F3:F4" si="0">B3/C3</f>
        <v>229.35779816513761</v>
      </c>
    </row>
    <row r="4" spans="1:6" x14ac:dyDescent="0.25">
      <c r="A4">
        <v>3</v>
      </c>
      <c r="B4">
        <v>1000</v>
      </c>
      <c r="C4">
        <v>2.718</v>
      </c>
      <c r="D4">
        <v>5</v>
      </c>
      <c r="E4">
        <v>0.6</v>
      </c>
      <c r="F4">
        <f t="shared" si="0"/>
        <v>367.91758646063283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54D0-757D-4B6F-BFC5-C7F2AF1C06A4}">
  <dimension ref="A1:P16"/>
  <sheetViews>
    <sheetView workbookViewId="0">
      <selection activeCell="H15" sqref="H15"/>
    </sheetView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19</v>
      </c>
      <c r="E1" t="s">
        <v>17</v>
      </c>
      <c r="F1" t="s">
        <v>83</v>
      </c>
      <c r="G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6" x14ac:dyDescent="0.25">
      <c r="A2">
        <v>1</v>
      </c>
      <c r="B2">
        <v>0.33700000000000002</v>
      </c>
      <c r="C2">
        <v>1.9490000000000001</v>
      </c>
      <c r="D2">
        <v>2.3260000000000001</v>
      </c>
      <c r="E2">
        <v>16.2</v>
      </c>
      <c r="F2">
        <f>((1/(E2/100)-1)/5.225)^(-1)</f>
        <v>1.0100835322195703</v>
      </c>
      <c r="G2">
        <v>203.7</v>
      </c>
      <c r="H2" s="1">
        <v>1.14E-2</v>
      </c>
      <c r="I2" s="1">
        <v>1.8599999999999999E-4</v>
      </c>
      <c r="J2" s="1">
        <v>1.4300000000000001E-3</v>
      </c>
      <c r="K2">
        <v>0.13</v>
      </c>
      <c r="O2" t="s">
        <v>84</v>
      </c>
      <c r="P2">
        <v>5.2249999999999996</v>
      </c>
    </row>
    <row r="3" spans="1:16" x14ac:dyDescent="0.25">
      <c r="A3">
        <v>2</v>
      </c>
      <c r="B3">
        <v>0.65900000000000003</v>
      </c>
      <c r="C3">
        <v>1.4750000000000001</v>
      </c>
      <c r="D3">
        <v>2.1339999999999999</v>
      </c>
      <c r="E3">
        <v>30.9</v>
      </c>
      <c r="F3">
        <f t="shared" ref="F3:F16" si="0">((1/(E3/100)-1)/5.225)^(-1)</f>
        <v>2.3365050651230099</v>
      </c>
      <c r="G3">
        <v>167.9</v>
      </c>
      <c r="H3" s="1">
        <v>1.2699999999999999E-2</v>
      </c>
      <c r="I3" s="1">
        <v>1.6699999999999999E-4</v>
      </c>
      <c r="J3" s="1">
        <v>1.5200000000000001E-3</v>
      </c>
      <c r="K3">
        <v>0.11</v>
      </c>
    </row>
    <row r="4" spans="1:16" x14ac:dyDescent="0.25">
      <c r="A4">
        <v>3</v>
      </c>
      <c r="B4">
        <v>0.86199999999999999</v>
      </c>
      <c r="C4">
        <v>1.1539999999999999</v>
      </c>
      <c r="D4">
        <v>2.016</v>
      </c>
      <c r="E4">
        <v>42.8</v>
      </c>
      <c r="F4">
        <f t="shared" si="0"/>
        <v>3.909615384615384</v>
      </c>
      <c r="G4">
        <v>147.19999999999999</v>
      </c>
      <c r="H4" s="1">
        <v>1.37E-2</v>
      </c>
      <c r="I4" s="1">
        <v>1.55E-4</v>
      </c>
      <c r="J4" s="1">
        <v>1.5900000000000001E-3</v>
      </c>
      <c r="K4">
        <v>9.8000000000000004E-2</v>
      </c>
    </row>
    <row r="5" spans="1:16" x14ac:dyDescent="0.25">
      <c r="A5">
        <v>4</v>
      </c>
      <c r="B5">
        <v>1.2689999999999999</v>
      </c>
      <c r="C5">
        <v>0.754</v>
      </c>
      <c r="D5">
        <v>2.0230000000000001</v>
      </c>
      <c r="E5">
        <v>62.7</v>
      </c>
      <c r="F5">
        <f t="shared" si="0"/>
        <v>8.7830428954423585</v>
      </c>
      <c r="G5">
        <v>128.1</v>
      </c>
      <c r="H5" s="1">
        <v>1.5800000000000002E-2</v>
      </c>
      <c r="I5" s="1">
        <v>1.34E-4</v>
      </c>
      <c r="J5" s="1">
        <v>1.6999999999999999E-3</v>
      </c>
      <c r="K5">
        <v>7.9000000000000001E-2</v>
      </c>
    </row>
    <row r="6" spans="1:16" x14ac:dyDescent="0.25">
      <c r="A6">
        <v>5</v>
      </c>
      <c r="B6">
        <v>1.5129999999999999</v>
      </c>
      <c r="C6">
        <v>0.51600000000000001</v>
      </c>
      <c r="D6">
        <v>2.0289999999999999</v>
      </c>
      <c r="E6">
        <v>74.599999999999994</v>
      </c>
      <c r="F6">
        <f t="shared" si="0"/>
        <v>15.345866141732282</v>
      </c>
      <c r="G6">
        <v>119</v>
      </c>
      <c r="H6" s="1">
        <v>1.7100000000000001E-2</v>
      </c>
      <c r="I6" s="1">
        <v>1.2400000000000001E-4</v>
      </c>
      <c r="J6" s="1">
        <v>1.7700000000000001E-3</v>
      </c>
      <c r="K6">
        <v>7.0000000000000007E-2</v>
      </c>
    </row>
    <row r="7" spans="1:16" x14ac:dyDescent="0.25">
      <c r="A7">
        <v>6</v>
      </c>
      <c r="B7">
        <v>1.897</v>
      </c>
      <c r="C7" t="s">
        <v>13</v>
      </c>
      <c r="D7">
        <v>1.897</v>
      </c>
      <c r="E7">
        <v>100</v>
      </c>
      <c r="F7" t="s">
        <v>85</v>
      </c>
      <c r="G7">
        <v>97.7</v>
      </c>
      <c r="H7" s="1">
        <v>1.9400000000000001E-2</v>
      </c>
      <c r="I7" s="1">
        <v>1.0900000000000001E-4</v>
      </c>
      <c r="J7" s="1">
        <v>1.92E-3</v>
      </c>
      <c r="K7">
        <v>5.7000000000000002E-2</v>
      </c>
    </row>
    <row r="8" spans="1:16" x14ac:dyDescent="0.25">
      <c r="A8">
        <v>7</v>
      </c>
      <c r="B8" t="s">
        <v>13</v>
      </c>
      <c r="C8">
        <v>1.9650000000000001</v>
      </c>
      <c r="D8">
        <v>1.9650000000000001</v>
      </c>
      <c r="E8">
        <v>0</v>
      </c>
      <c r="F8">
        <v>0</v>
      </c>
      <c r="G8">
        <v>188.1</v>
      </c>
      <c r="H8" s="1">
        <v>1.04E-2</v>
      </c>
      <c r="I8" s="1">
        <v>2.05E-4</v>
      </c>
      <c r="J8" s="1">
        <v>1.34E-3</v>
      </c>
      <c r="K8">
        <v>0.153</v>
      </c>
    </row>
    <row r="9" spans="1:16" x14ac:dyDescent="0.25">
      <c r="A9">
        <v>8</v>
      </c>
      <c r="B9" t="s">
        <v>13</v>
      </c>
      <c r="C9">
        <v>1.6559999999999999</v>
      </c>
      <c r="D9">
        <v>1.6559999999999999</v>
      </c>
      <c r="E9">
        <v>0</v>
      </c>
      <c r="F9">
        <v>0</v>
      </c>
      <c r="G9">
        <v>158.5</v>
      </c>
      <c r="H9" s="1">
        <v>1.04E-2</v>
      </c>
      <c r="I9" s="1">
        <v>2.05E-4</v>
      </c>
      <c r="J9" s="1">
        <v>1.34E-3</v>
      </c>
      <c r="K9">
        <v>0.153</v>
      </c>
    </row>
    <row r="10" spans="1:16" x14ac:dyDescent="0.25">
      <c r="A10">
        <v>9</v>
      </c>
      <c r="B10">
        <v>0.17399999999999999</v>
      </c>
      <c r="C10">
        <v>1.8879999999999999</v>
      </c>
      <c r="D10">
        <v>2.0619999999999998</v>
      </c>
      <c r="E10">
        <v>8.4</v>
      </c>
      <c r="F10">
        <f t="shared" si="0"/>
        <v>0.47914847161572061</v>
      </c>
      <c r="G10">
        <v>191</v>
      </c>
      <c r="H10" s="1">
        <v>1.0800000000000001E-2</v>
      </c>
      <c r="I10" s="1">
        <v>1.9599999999999999E-4</v>
      </c>
      <c r="J10" s="1">
        <v>1.39E-3</v>
      </c>
      <c r="K10">
        <v>0.14099999999999999</v>
      </c>
    </row>
    <row r="11" spans="1:16" x14ac:dyDescent="0.25">
      <c r="A11">
        <v>10</v>
      </c>
      <c r="B11">
        <v>1.4119999999999999</v>
      </c>
      <c r="C11">
        <v>0.38300000000000001</v>
      </c>
      <c r="D11">
        <v>1.7949999999999999</v>
      </c>
      <c r="E11">
        <v>78.7</v>
      </c>
      <c r="F11">
        <f t="shared" si="0"/>
        <v>19.305516431924882</v>
      </c>
      <c r="G11">
        <v>103</v>
      </c>
      <c r="H11" s="1">
        <v>1.7399999999999999E-2</v>
      </c>
      <c r="I11" s="1">
        <v>1.22E-4</v>
      </c>
      <c r="J11" s="1">
        <v>1.8E-3</v>
      </c>
      <c r="K11">
        <v>6.8000000000000005E-2</v>
      </c>
    </row>
    <row r="12" spans="1:16" x14ac:dyDescent="0.25">
      <c r="A12">
        <v>11</v>
      </c>
      <c r="B12" t="s">
        <v>13</v>
      </c>
      <c r="C12">
        <v>1.6579999999999999</v>
      </c>
      <c r="D12">
        <v>1.6579999999999999</v>
      </c>
      <c r="E12">
        <v>0</v>
      </c>
      <c r="F12">
        <v>0</v>
      </c>
      <c r="G12">
        <v>164</v>
      </c>
      <c r="H12" s="1">
        <v>1.01E-2</v>
      </c>
      <c r="I12" s="1">
        <v>2.05E-4</v>
      </c>
      <c r="J12" s="1">
        <v>1.34E-3</v>
      </c>
      <c r="K12">
        <v>0.153</v>
      </c>
    </row>
    <row r="13" spans="1:16" x14ac:dyDescent="0.25">
      <c r="A13">
        <v>12</v>
      </c>
      <c r="B13">
        <v>1.014</v>
      </c>
      <c r="C13">
        <v>1.06</v>
      </c>
      <c r="D13">
        <v>2.0739999999999998</v>
      </c>
      <c r="E13">
        <v>48.9</v>
      </c>
      <c r="F13">
        <f t="shared" si="0"/>
        <v>5.00004892367906</v>
      </c>
      <c r="G13">
        <v>145.5</v>
      </c>
      <c r="H13" s="1">
        <v>1.4200000000000001E-2</v>
      </c>
      <c r="I13" s="1">
        <v>1.4899999999999999E-4</v>
      </c>
      <c r="J13" s="1">
        <v>1.6199999999999999E-3</v>
      </c>
      <c r="K13">
        <v>9.1999999999999998E-2</v>
      </c>
    </row>
    <row r="14" spans="1:16" x14ac:dyDescent="0.25">
      <c r="A14">
        <v>13</v>
      </c>
      <c r="B14">
        <v>1.913</v>
      </c>
      <c r="C14">
        <v>0.21199999999999999</v>
      </c>
      <c r="D14">
        <v>2.125</v>
      </c>
      <c r="E14">
        <v>90</v>
      </c>
      <c r="F14">
        <f t="shared" si="0"/>
        <v>47.024999999999977</v>
      </c>
      <c r="G14">
        <v>114.8</v>
      </c>
      <c r="H14" s="1">
        <v>1.84E-2</v>
      </c>
      <c r="I14" s="1">
        <v>1.15E-4</v>
      </c>
      <c r="J14" s="1">
        <v>1.8600000000000001E-3</v>
      </c>
      <c r="K14">
        <v>6.2E-2</v>
      </c>
    </row>
    <row r="15" spans="1:16" x14ac:dyDescent="0.25">
      <c r="A15">
        <v>14</v>
      </c>
      <c r="B15">
        <v>1.9319999999999999</v>
      </c>
      <c r="C15" t="s">
        <v>13</v>
      </c>
      <c r="D15">
        <v>1.9319999999999999</v>
      </c>
      <c r="E15">
        <v>100</v>
      </c>
      <c r="F15" t="s">
        <v>85</v>
      </c>
      <c r="G15">
        <v>99.5</v>
      </c>
      <c r="H15" s="1">
        <v>1.9400000000000001E-2</v>
      </c>
      <c r="I15" s="1">
        <v>1.0900000000000001E-4</v>
      </c>
      <c r="J15" s="1">
        <v>1.92E-3</v>
      </c>
      <c r="K15">
        <v>5.7000000000000002E-2</v>
      </c>
    </row>
    <row r="16" spans="1:16" x14ac:dyDescent="0.25">
      <c r="A16">
        <v>15</v>
      </c>
      <c r="B16" t="s">
        <v>13</v>
      </c>
      <c r="C16">
        <v>2</v>
      </c>
      <c r="D16">
        <v>2</v>
      </c>
      <c r="E16">
        <v>0</v>
      </c>
      <c r="F16" t="e">
        <f t="shared" si="0"/>
        <v>#DIV/0!</v>
      </c>
      <c r="G16">
        <v>191</v>
      </c>
      <c r="H16" s="1">
        <v>1.04E-2</v>
      </c>
      <c r="I16" s="1">
        <v>2.05E-4</v>
      </c>
      <c r="J16" s="1">
        <v>1.34E-3</v>
      </c>
      <c r="K16">
        <v>0.153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9232-4A60-4344-87C6-FE4A0BF0B026}">
  <dimension ref="A1:Z28"/>
  <sheetViews>
    <sheetView tabSelected="1" topLeftCell="G1" workbookViewId="0">
      <selection activeCell="AA1" sqref="AA1"/>
    </sheetView>
  </sheetViews>
  <sheetFormatPr defaultRowHeight="15" x14ac:dyDescent="0.25"/>
  <cols>
    <col min="4" max="4" width="9.5703125" customWidth="1"/>
  </cols>
  <sheetData>
    <row r="1" spans="1:26" x14ac:dyDescent="0.25">
      <c r="A1" t="s">
        <v>14</v>
      </c>
      <c r="B1" t="s">
        <v>26</v>
      </c>
      <c r="C1" t="s">
        <v>24</v>
      </c>
      <c r="D1" t="s">
        <v>25</v>
      </c>
      <c r="E1" t="s">
        <v>16</v>
      </c>
      <c r="F1" t="s">
        <v>19</v>
      </c>
      <c r="G1" t="s">
        <v>40</v>
      </c>
      <c r="H1" t="s">
        <v>83</v>
      </c>
      <c r="I1" t="s">
        <v>23</v>
      </c>
      <c r="J1" t="s">
        <v>27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28</v>
      </c>
      <c r="R1" t="s">
        <v>93</v>
      </c>
      <c r="S1" t="s">
        <v>92</v>
      </c>
      <c r="T1" t="s">
        <v>94</v>
      </c>
      <c r="U1" t="s">
        <v>95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 s="3" customFormat="1" x14ac:dyDescent="0.25">
      <c r="A2" s="3">
        <v>11</v>
      </c>
      <c r="B2" s="3">
        <v>1.385</v>
      </c>
      <c r="C2" s="3">
        <v>45.7</v>
      </c>
      <c r="D2" s="3">
        <v>2.12</v>
      </c>
      <c r="E2" s="3">
        <v>21.54</v>
      </c>
      <c r="F2" s="3">
        <v>23.66</v>
      </c>
      <c r="G2" s="3">
        <v>8.9600000000000009</v>
      </c>
      <c r="H2" s="3">
        <f>((1/(G2/100)-1)/5.225)^(-1)</f>
        <v>0.5142355008787346</v>
      </c>
      <c r="I2" s="3">
        <v>0.14000000000000001</v>
      </c>
      <c r="J2" s="3" t="s">
        <v>0</v>
      </c>
      <c r="K2" s="3">
        <v>0.46500000000000002</v>
      </c>
      <c r="L2" s="3" t="s">
        <v>13</v>
      </c>
      <c r="M2" s="3">
        <v>0.04</v>
      </c>
      <c r="N2" s="3" t="s">
        <v>13</v>
      </c>
      <c r="O2" s="3">
        <v>0.11700000000000001</v>
      </c>
      <c r="P2" s="3" t="s">
        <v>13</v>
      </c>
      <c r="Q2" s="3">
        <v>1571</v>
      </c>
      <c r="R2" s="3">
        <v>202</v>
      </c>
      <c r="S2" s="3" t="s">
        <v>13</v>
      </c>
      <c r="T2" s="3" t="s">
        <v>13</v>
      </c>
      <c r="U2" s="3">
        <v>1555</v>
      </c>
      <c r="V2" s="3">
        <f>SQRT(U2)</f>
        <v>39.433488306260706</v>
      </c>
      <c r="W2" s="3" t="s">
        <v>2</v>
      </c>
      <c r="X2" s="3" t="s">
        <v>3</v>
      </c>
      <c r="Y2" s="3">
        <v>3.36</v>
      </c>
      <c r="Z2" s="3" t="s">
        <v>13</v>
      </c>
    </row>
    <row r="3" spans="1:26" s="3" customFormat="1" x14ac:dyDescent="0.25">
      <c r="A3" s="3">
        <v>12</v>
      </c>
      <c r="B3" s="3">
        <v>1.385</v>
      </c>
      <c r="C3" s="3" t="s">
        <v>13</v>
      </c>
      <c r="D3" s="3">
        <v>2.59</v>
      </c>
      <c r="E3" s="3">
        <v>18.239999999999998</v>
      </c>
      <c r="F3" s="3">
        <v>20.83</v>
      </c>
      <c r="G3" s="3">
        <v>12.43</v>
      </c>
      <c r="H3" s="3">
        <f t="shared" ref="H3:H23" si="0">((1/(G3/100)-1)/5.225)^(-1)</f>
        <v>0.7416552472307868</v>
      </c>
      <c r="I3" s="3">
        <v>0.13500000000000001</v>
      </c>
      <c r="J3" s="3" t="s">
        <v>0</v>
      </c>
      <c r="K3" s="3">
        <v>0.312</v>
      </c>
      <c r="L3" s="3" t="s">
        <v>13</v>
      </c>
      <c r="M3" s="3">
        <v>0.04</v>
      </c>
      <c r="N3" s="3" t="s">
        <v>13</v>
      </c>
      <c r="O3" s="3">
        <v>7.8E-2</v>
      </c>
      <c r="P3" s="3" t="s">
        <v>13</v>
      </c>
      <c r="Q3" s="3">
        <v>1383</v>
      </c>
      <c r="R3" s="3">
        <v>266</v>
      </c>
      <c r="S3" s="3" t="s">
        <v>13</v>
      </c>
      <c r="T3" s="3" t="s">
        <v>13</v>
      </c>
      <c r="U3" s="3">
        <v>1421</v>
      </c>
      <c r="V3" s="3">
        <f t="shared" ref="V3:V23" si="1">SQRT(U3)</f>
        <v>37.696153649941529</v>
      </c>
      <c r="W3" s="3" t="s">
        <v>2</v>
      </c>
      <c r="X3" s="3" t="s">
        <v>3</v>
      </c>
      <c r="Y3" s="3">
        <v>2.25</v>
      </c>
      <c r="Z3" s="3" t="s">
        <v>13</v>
      </c>
    </row>
    <row r="4" spans="1:26" x14ac:dyDescent="0.25">
      <c r="A4">
        <v>22</v>
      </c>
      <c r="B4">
        <v>1.385</v>
      </c>
      <c r="C4">
        <v>46.5</v>
      </c>
      <c r="D4">
        <v>7.1</v>
      </c>
      <c r="E4">
        <v>50.85</v>
      </c>
      <c r="F4">
        <v>57.95</v>
      </c>
      <c r="G4">
        <v>12.25</v>
      </c>
      <c r="H4">
        <f t="shared" si="0"/>
        <v>0.72941595441595442</v>
      </c>
      <c r="I4">
        <v>0.13500000000000001</v>
      </c>
      <c r="J4" t="s">
        <v>0</v>
      </c>
      <c r="K4">
        <v>0.67500000000000004</v>
      </c>
      <c r="L4" t="s">
        <v>13</v>
      </c>
      <c r="M4">
        <v>5.5E-2</v>
      </c>
      <c r="N4" t="s">
        <v>13</v>
      </c>
      <c r="O4">
        <v>0.23300000000000001</v>
      </c>
      <c r="P4" t="s">
        <v>13</v>
      </c>
      <c r="Q4">
        <v>3860</v>
      </c>
      <c r="R4">
        <v>248.5</v>
      </c>
      <c r="S4" t="s">
        <v>13</v>
      </c>
      <c r="T4" t="s">
        <v>13</v>
      </c>
      <c r="U4">
        <v>3960</v>
      </c>
      <c r="V4">
        <f t="shared" si="1"/>
        <v>62.928530890209096</v>
      </c>
      <c r="W4" t="s">
        <v>3</v>
      </c>
      <c r="X4" t="s">
        <v>2</v>
      </c>
      <c r="Y4">
        <v>4.87</v>
      </c>
      <c r="Z4" t="s">
        <v>13</v>
      </c>
    </row>
    <row r="5" spans="1:26" x14ac:dyDescent="0.25">
      <c r="A5">
        <v>25</v>
      </c>
      <c r="B5">
        <v>1.385</v>
      </c>
      <c r="C5" t="s">
        <v>13</v>
      </c>
      <c r="D5">
        <v>5.08</v>
      </c>
      <c r="E5">
        <v>38.200000000000003</v>
      </c>
      <c r="F5">
        <v>43.28</v>
      </c>
      <c r="G5">
        <v>11.72</v>
      </c>
      <c r="H5">
        <f t="shared" si="0"/>
        <v>0.69366787494336202</v>
      </c>
      <c r="I5">
        <v>0.13600000000000001</v>
      </c>
      <c r="J5" t="s">
        <v>0</v>
      </c>
      <c r="K5">
        <v>0.66500000000000004</v>
      </c>
      <c r="L5" t="s">
        <v>13</v>
      </c>
      <c r="M5">
        <v>4.1000000000000002E-2</v>
      </c>
      <c r="N5" t="s">
        <v>13</v>
      </c>
      <c r="O5">
        <v>0.17100000000000001</v>
      </c>
      <c r="P5" t="s">
        <v>13</v>
      </c>
      <c r="Q5">
        <v>2874</v>
      </c>
      <c r="R5">
        <v>252.7</v>
      </c>
      <c r="S5" t="s">
        <v>13</v>
      </c>
      <c r="T5" t="s">
        <v>13</v>
      </c>
      <c r="U5">
        <v>2933</v>
      </c>
      <c r="V5">
        <f t="shared" si="1"/>
        <v>54.157178656204017</v>
      </c>
      <c r="W5" t="s">
        <v>3</v>
      </c>
      <c r="X5" t="s">
        <v>2</v>
      </c>
      <c r="Y5">
        <v>4.8</v>
      </c>
      <c r="Z5" t="s">
        <v>13</v>
      </c>
    </row>
    <row r="6" spans="1:26" s="3" customFormat="1" x14ac:dyDescent="0.25">
      <c r="A6" s="3">
        <v>49</v>
      </c>
      <c r="B6" s="3">
        <v>1.385</v>
      </c>
      <c r="C6" s="3">
        <v>46.17</v>
      </c>
      <c r="D6" s="3">
        <v>2.6280000000000001</v>
      </c>
      <c r="E6" s="3">
        <v>13.05</v>
      </c>
      <c r="F6" s="3">
        <v>15.68</v>
      </c>
      <c r="G6" s="3">
        <v>16.75</v>
      </c>
      <c r="H6" s="3">
        <f t="shared" si="0"/>
        <v>1.0512762762762764</v>
      </c>
      <c r="I6" s="3">
        <v>0.129</v>
      </c>
      <c r="J6" s="3" t="s">
        <v>1</v>
      </c>
      <c r="K6" s="3">
        <v>0.245</v>
      </c>
      <c r="L6" s="3">
        <v>0.24299999999999999</v>
      </c>
      <c r="M6" s="3">
        <v>3.6999999999999998E-2</v>
      </c>
      <c r="N6" s="3">
        <v>3.2000000000000001E-2</v>
      </c>
      <c r="O6" s="3">
        <v>5.7000000000000002E-2</v>
      </c>
      <c r="P6" s="3">
        <v>4.8800000000000003E-2</v>
      </c>
      <c r="Q6" s="3">
        <v>1042</v>
      </c>
      <c r="R6" s="3">
        <v>275</v>
      </c>
      <c r="S6" s="3">
        <v>321</v>
      </c>
      <c r="T6" s="3">
        <v>1.17</v>
      </c>
      <c r="U6" s="3">
        <v>1119</v>
      </c>
      <c r="V6" s="3">
        <f t="shared" si="1"/>
        <v>33.451457367355459</v>
      </c>
      <c r="W6" s="3" t="s">
        <v>2</v>
      </c>
      <c r="X6" s="3" t="s">
        <v>3</v>
      </c>
      <c r="Y6" s="3">
        <v>1.77</v>
      </c>
      <c r="Z6" s="3">
        <v>1.75</v>
      </c>
    </row>
    <row r="7" spans="1:26" s="3" customFormat="1" x14ac:dyDescent="0.25">
      <c r="A7" s="3">
        <v>50</v>
      </c>
      <c r="B7" s="3">
        <v>1.385</v>
      </c>
      <c r="C7" s="3" t="s">
        <v>13</v>
      </c>
      <c r="D7" s="3">
        <v>3.64</v>
      </c>
      <c r="E7" s="3">
        <v>10.33</v>
      </c>
      <c r="F7" s="3">
        <v>13.97</v>
      </c>
      <c r="G7" s="3">
        <v>26.02</v>
      </c>
      <c r="H7" s="3">
        <f t="shared" si="0"/>
        <v>1.8377196539605296</v>
      </c>
      <c r="I7" s="3">
        <v>0.11700000000000001</v>
      </c>
      <c r="J7" s="3" t="s">
        <v>1</v>
      </c>
      <c r="K7" s="3">
        <v>0.36</v>
      </c>
      <c r="L7" s="3">
        <v>0.35</v>
      </c>
      <c r="M7" s="3">
        <v>4.2500000000000003E-2</v>
      </c>
      <c r="N7" s="3">
        <v>3.1E-2</v>
      </c>
      <c r="O7" s="3">
        <v>9.6000000000000002E-2</v>
      </c>
      <c r="P7" s="3">
        <v>6.8000000000000005E-2</v>
      </c>
      <c r="Q7" s="3">
        <v>928</v>
      </c>
      <c r="R7" s="3">
        <v>145.19999999999999</v>
      </c>
      <c r="S7" s="3">
        <v>205</v>
      </c>
      <c r="T7" s="3">
        <v>1.41</v>
      </c>
      <c r="U7" s="3">
        <v>1098</v>
      </c>
      <c r="V7" s="3">
        <f t="shared" si="1"/>
        <v>33.136083051561783</v>
      </c>
      <c r="W7" s="3" t="s">
        <v>2</v>
      </c>
      <c r="X7" s="3" t="s">
        <v>3</v>
      </c>
      <c r="Y7" s="3">
        <v>2.6</v>
      </c>
      <c r="Z7" s="3">
        <v>2.5299999999999998</v>
      </c>
    </row>
    <row r="8" spans="1:26" x14ac:dyDescent="0.25">
      <c r="A8">
        <v>51</v>
      </c>
      <c r="B8">
        <v>1.385</v>
      </c>
      <c r="C8" t="s">
        <v>13</v>
      </c>
      <c r="D8">
        <v>7.9</v>
      </c>
      <c r="E8">
        <v>29.55</v>
      </c>
      <c r="F8">
        <v>37.450000000000003</v>
      </c>
      <c r="G8">
        <v>21.1</v>
      </c>
      <c r="H8">
        <f t="shared" si="0"/>
        <v>1.3973067173637517</v>
      </c>
      <c r="I8">
        <v>0.123</v>
      </c>
      <c r="J8" t="s">
        <v>1</v>
      </c>
      <c r="K8">
        <v>0.56499999999999995</v>
      </c>
      <c r="L8">
        <v>0.53800000000000003</v>
      </c>
      <c r="M8">
        <v>0.05</v>
      </c>
      <c r="N8">
        <v>3.7999999999999999E-2</v>
      </c>
      <c r="O8">
        <v>0.17699999999999999</v>
      </c>
      <c r="P8">
        <v>0.128</v>
      </c>
      <c r="Q8">
        <v>2488</v>
      </c>
      <c r="R8">
        <v>211.4</v>
      </c>
      <c r="S8">
        <v>291.89999999999998</v>
      </c>
      <c r="T8">
        <v>1.38</v>
      </c>
      <c r="U8">
        <v>2800</v>
      </c>
      <c r="V8">
        <f t="shared" si="1"/>
        <v>52.915026221291811</v>
      </c>
      <c r="W8" t="s">
        <v>3</v>
      </c>
      <c r="X8" t="s">
        <v>2</v>
      </c>
      <c r="Y8">
        <v>4.08</v>
      </c>
      <c r="Z8">
        <v>3.88</v>
      </c>
    </row>
    <row r="9" spans="1:26" x14ac:dyDescent="0.25">
      <c r="A9">
        <v>52</v>
      </c>
      <c r="B9">
        <v>1.385</v>
      </c>
      <c r="C9" t="s">
        <v>13</v>
      </c>
      <c r="D9">
        <v>10.34</v>
      </c>
      <c r="E9">
        <v>27.85</v>
      </c>
      <c r="F9">
        <v>38.19</v>
      </c>
      <c r="G9">
        <v>27.07</v>
      </c>
      <c r="H9">
        <f t="shared" si="0"/>
        <v>1.9394042232277526</v>
      </c>
      <c r="I9">
        <v>0.11600000000000001</v>
      </c>
      <c r="J9" t="s">
        <v>1</v>
      </c>
      <c r="K9">
        <v>1.73</v>
      </c>
      <c r="L9" t="s">
        <v>13</v>
      </c>
      <c r="M9">
        <v>7.0000000000000007E-2</v>
      </c>
      <c r="N9" t="s">
        <v>13</v>
      </c>
      <c r="O9">
        <v>0.76</v>
      </c>
      <c r="P9" t="s">
        <v>13</v>
      </c>
      <c r="Q9">
        <v>2537</v>
      </c>
      <c r="R9">
        <v>50.2</v>
      </c>
      <c r="S9" t="s">
        <v>13</v>
      </c>
      <c r="T9" t="s">
        <v>13</v>
      </c>
      <c r="U9">
        <v>3035</v>
      </c>
      <c r="V9">
        <f t="shared" si="1"/>
        <v>55.090834083357279</v>
      </c>
      <c r="W9" t="s">
        <v>3</v>
      </c>
      <c r="X9" t="s">
        <v>2</v>
      </c>
      <c r="Y9">
        <v>12.5</v>
      </c>
      <c r="Z9" t="s">
        <v>13</v>
      </c>
    </row>
    <row r="10" spans="1:26" x14ac:dyDescent="0.25">
      <c r="A10">
        <v>53</v>
      </c>
      <c r="B10">
        <v>1.385</v>
      </c>
      <c r="C10">
        <v>46.1</v>
      </c>
      <c r="D10">
        <v>7.59</v>
      </c>
      <c r="E10">
        <v>45</v>
      </c>
      <c r="F10">
        <v>52.59</v>
      </c>
      <c r="G10">
        <v>14.45</v>
      </c>
      <c r="H10">
        <f t="shared" si="0"/>
        <v>0.88253945061367622</v>
      </c>
      <c r="I10">
        <v>0.13200000000000001</v>
      </c>
      <c r="J10" t="s">
        <v>1</v>
      </c>
      <c r="K10">
        <v>0.56000000000000005</v>
      </c>
      <c r="L10">
        <v>0.438</v>
      </c>
      <c r="M10">
        <v>5.7000000000000002E-2</v>
      </c>
      <c r="N10">
        <v>4.3999999999999997E-2</v>
      </c>
      <c r="O10">
        <v>0.2</v>
      </c>
      <c r="P10">
        <v>0.121</v>
      </c>
      <c r="Q10">
        <v>3500</v>
      </c>
      <c r="R10">
        <v>262</v>
      </c>
      <c r="S10">
        <v>434.7</v>
      </c>
      <c r="T10">
        <v>1.66</v>
      </c>
      <c r="U10">
        <v>3675</v>
      </c>
      <c r="V10">
        <f t="shared" si="1"/>
        <v>60.621778264910702</v>
      </c>
      <c r="W10" t="s">
        <v>3</v>
      </c>
      <c r="X10" t="s">
        <v>2</v>
      </c>
      <c r="Y10">
        <v>4.04</v>
      </c>
      <c r="Z10">
        <v>3.16</v>
      </c>
    </row>
    <row r="11" spans="1:26" s="3" customFormat="1" x14ac:dyDescent="0.25">
      <c r="A11" s="3">
        <v>28</v>
      </c>
      <c r="B11" s="3">
        <v>2.1800000000000002</v>
      </c>
      <c r="C11" s="3">
        <v>46.34</v>
      </c>
      <c r="D11" s="3">
        <v>0.65600000000000003</v>
      </c>
      <c r="E11" s="3">
        <v>14.68</v>
      </c>
      <c r="F11" s="3">
        <v>15.34</v>
      </c>
      <c r="G11" s="3">
        <v>4.28</v>
      </c>
      <c r="H11" s="3">
        <f t="shared" si="0"/>
        <v>0.23362933556205601</v>
      </c>
      <c r="I11" s="3">
        <v>0.14699999999999999</v>
      </c>
      <c r="J11" s="3" t="s">
        <v>0</v>
      </c>
      <c r="K11" s="3">
        <v>0.49</v>
      </c>
      <c r="L11" s="3" t="s">
        <v>13</v>
      </c>
      <c r="M11" s="3">
        <v>6.9000000000000006E-2</v>
      </c>
      <c r="N11" s="3" t="s">
        <v>13</v>
      </c>
      <c r="O11" s="3">
        <v>0.21299999999999999</v>
      </c>
      <c r="P11" s="3" t="s">
        <v>13</v>
      </c>
      <c r="Q11" s="3">
        <v>411</v>
      </c>
      <c r="R11" s="3">
        <v>72.2</v>
      </c>
      <c r="S11" s="3" t="s">
        <v>13</v>
      </c>
      <c r="T11" s="3" t="s">
        <v>13</v>
      </c>
      <c r="U11" s="3">
        <v>612</v>
      </c>
      <c r="V11" s="3">
        <f t="shared" si="1"/>
        <v>24.738633753705962</v>
      </c>
      <c r="W11" s="3" t="s">
        <v>2</v>
      </c>
      <c r="X11" s="3" t="s">
        <v>3</v>
      </c>
      <c r="Y11" s="3">
        <v>2.25</v>
      </c>
      <c r="Z11" s="3" t="s">
        <v>13</v>
      </c>
    </row>
    <row r="12" spans="1:26" x14ac:dyDescent="0.25">
      <c r="A12">
        <v>37</v>
      </c>
      <c r="B12">
        <v>2.1800000000000002</v>
      </c>
      <c r="C12">
        <v>46.16</v>
      </c>
      <c r="D12">
        <v>15.42</v>
      </c>
      <c r="E12">
        <v>98.9</v>
      </c>
      <c r="F12">
        <v>114.32</v>
      </c>
      <c r="G12">
        <v>13.49</v>
      </c>
      <c r="H12">
        <f t="shared" si="0"/>
        <v>0.81476418911108528</v>
      </c>
      <c r="I12">
        <v>0.13300000000000001</v>
      </c>
      <c r="J12" t="s">
        <v>0</v>
      </c>
      <c r="K12">
        <v>0.63</v>
      </c>
      <c r="L12" t="s">
        <v>13</v>
      </c>
      <c r="M12">
        <v>9.1999999999999998E-2</v>
      </c>
      <c r="N12" t="s">
        <v>13</v>
      </c>
      <c r="O12">
        <v>0.36399999999999999</v>
      </c>
      <c r="P12" t="s">
        <v>13</v>
      </c>
      <c r="Q12">
        <v>3065</v>
      </c>
      <c r="R12">
        <v>314.10000000000002</v>
      </c>
      <c r="S12" t="s">
        <v>13</v>
      </c>
      <c r="T12" t="s">
        <v>13</v>
      </c>
      <c r="U12">
        <v>5020</v>
      </c>
      <c r="V12">
        <f t="shared" si="1"/>
        <v>70.851958335673402</v>
      </c>
      <c r="W12" t="s">
        <v>3</v>
      </c>
      <c r="X12" t="s">
        <v>2</v>
      </c>
      <c r="Y12">
        <v>2.89</v>
      </c>
      <c r="Z12" t="s">
        <v>13</v>
      </c>
    </row>
    <row r="13" spans="1:26" x14ac:dyDescent="0.25">
      <c r="A13">
        <v>42</v>
      </c>
      <c r="B13">
        <v>2.1800000000000002</v>
      </c>
      <c r="C13" t="s">
        <v>13</v>
      </c>
      <c r="D13">
        <v>15.4</v>
      </c>
      <c r="E13">
        <v>99.4</v>
      </c>
      <c r="F13">
        <v>114.8</v>
      </c>
      <c r="G13">
        <v>13.41</v>
      </c>
      <c r="H13">
        <f t="shared" si="0"/>
        <v>0.80918408592216184</v>
      </c>
      <c r="I13">
        <v>0.13300000000000001</v>
      </c>
      <c r="J13" t="s">
        <v>1</v>
      </c>
      <c r="K13">
        <v>0.66</v>
      </c>
      <c r="L13">
        <v>0.435</v>
      </c>
      <c r="M13">
        <v>0.1</v>
      </c>
      <c r="N13">
        <v>7.0000000000000007E-2</v>
      </c>
      <c r="O13">
        <v>0.41399999999999998</v>
      </c>
      <c r="P13">
        <v>0.191</v>
      </c>
      <c r="Q13">
        <v>3077</v>
      </c>
      <c r="R13">
        <v>277.3</v>
      </c>
      <c r="S13">
        <v>599</v>
      </c>
      <c r="T13">
        <v>2.16</v>
      </c>
      <c r="U13">
        <v>5036</v>
      </c>
      <c r="V13">
        <f t="shared" si="1"/>
        <v>70.96477999684069</v>
      </c>
      <c r="W13" t="s">
        <v>3</v>
      </c>
      <c r="X13" t="s">
        <v>2</v>
      </c>
      <c r="Y13">
        <v>3.03</v>
      </c>
      <c r="Z13">
        <v>2</v>
      </c>
    </row>
    <row r="14" spans="1:26" x14ac:dyDescent="0.25">
      <c r="A14">
        <v>43</v>
      </c>
      <c r="B14">
        <v>2.1800000000000002</v>
      </c>
      <c r="C14" t="s">
        <v>13</v>
      </c>
      <c r="D14">
        <v>15.6</v>
      </c>
      <c r="E14">
        <v>90.75</v>
      </c>
      <c r="F14">
        <v>106.35</v>
      </c>
      <c r="G14">
        <v>14.67</v>
      </c>
      <c r="H14">
        <f t="shared" si="0"/>
        <v>0.89828606586194759</v>
      </c>
      <c r="I14">
        <v>0.13200000000000001</v>
      </c>
      <c r="J14" t="s">
        <v>1</v>
      </c>
      <c r="K14">
        <v>0.64300000000000002</v>
      </c>
      <c r="L14">
        <v>0.42</v>
      </c>
      <c r="M14">
        <v>9.7000000000000003E-2</v>
      </c>
      <c r="N14">
        <v>6.6000000000000003E-2</v>
      </c>
      <c r="O14">
        <v>0.39200000000000002</v>
      </c>
      <c r="P14">
        <v>0.17399999999999999</v>
      </c>
      <c r="Q14">
        <v>2848</v>
      </c>
      <c r="R14">
        <v>271.5</v>
      </c>
      <c r="S14">
        <v>610</v>
      </c>
      <c r="T14">
        <v>2.2400000000000002</v>
      </c>
      <c r="U14">
        <v>4711</v>
      </c>
      <c r="V14">
        <f t="shared" si="1"/>
        <v>68.636724863588881</v>
      </c>
      <c r="W14" t="s">
        <v>3</v>
      </c>
      <c r="X14" t="s">
        <v>2</v>
      </c>
      <c r="Y14">
        <v>2.95</v>
      </c>
      <c r="Z14">
        <v>1.93</v>
      </c>
    </row>
    <row r="15" spans="1:26" x14ac:dyDescent="0.25">
      <c r="A15">
        <v>44</v>
      </c>
      <c r="B15">
        <v>2.1800000000000002</v>
      </c>
      <c r="C15" t="s">
        <v>13</v>
      </c>
      <c r="D15">
        <v>16.329999999999998</v>
      </c>
      <c r="E15">
        <v>49.25</v>
      </c>
      <c r="F15">
        <v>65.58</v>
      </c>
      <c r="G15">
        <v>24.9</v>
      </c>
      <c r="H15">
        <f t="shared" si="0"/>
        <v>1.7323901464713711</v>
      </c>
      <c r="I15">
        <v>0.11799999999999999</v>
      </c>
      <c r="J15" t="s">
        <v>1</v>
      </c>
      <c r="K15">
        <v>0.71499999999999997</v>
      </c>
      <c r="L15">
        <v>0.49</v>
      </c>
      <c r="M15">
        <v>9.5000000000000001E-2</v>
      </c>
      <c r="N15">
        <v>7.1999999999999995E-2</v>
      </c>
      <c r="O15">
        <v>0.42699999999999999</v>
      </c>
      <c r="P15">
        <v>0.222</v>
      </c>
      <c r="Q15">
        <v>1760</v>
      </c>
      <c r="R15">
        <v>153.6</v>
      </c>
      <c r="S15">
        <v>296</v>
      </c>
      <c r="T15">
        <v>1.93</v>
      </c>
      <c r="U15">
        <v>3250</v>
      </c>
      <c r="V15">
        <f t="shared" si="1"/>
        <v>57.008771254956898</v>
      </c>
      <c r="W15" t="s">
        <v>3</v>
      </c>
      <c r="X15" t="s">
        <v>2</v>
      </c>
      <c r="Y15">
        <v>3.28</v>
      </c>
      <c r="Z15">
        <v>2.25</v>
      </c>
    </row>
    <row r="16" spans="1:26" x14ac:dyDescent="0.25">
      <c r="A16">
        <v>45</v>
      </c>
      <c r="B16">
        <v>2.1800000000000002</v>
      </c>
      <c r="C16" t="s">
        <v>13</v>
      </c>
      <c r="D16">
        <v>17.8</v>
      </c>
      <c r="E16">
        <v>41.15</v>
      </c>
      <c r="F16">
        <v>58.95</v>
      </c>
      <c r="G16">
        <v>30.15</v>
      </c>
      <c r="H16">
        <f t="shared" si="0"/>
        <v>2.2553149606299212</v>
      </c>
      <c r="I16">
        <v>0.112</v>
      </c>
      <c r="J16" t="s">
        <v>1</v>
      </c>
      <c r="K16">
        <v>1.59</v>
      </c>
      <c r="L16">
        <v>1.03</v>
      </c>
      <c r="M16">
        <v>0.108</v>
      </c>
      <c r="N16">
        <v>7.1999999999999995E-2</v>
      </c>
      <c r="O16">
        <v>1.08</v>
      </c>
      <c r="P16">
        <v>0.46600000000000003</v>
      </c>
      <c r="Q16">
        <v>1580</v>
      </c>
      <c r="R16">
        <v>54.7</v>
      </c>
      <c r="S16">
        <v>126.6</v>
      </c>
      <c r="T16">
        <v>2.31</v>
      </c>
      <c r="U16">
        <v>3075</v>
      </c>
      <c r="V16">
        <f t="shared" si="1"/>
        <v>55.452682532047085</v>
      </c>
      <c r="W16" t="s">
        <v>3</v>
      </c>
      <c r="X16" t="s">
        <v>2</v>
      </c>
      <c r="Y16">
        <v>7.29</v>
      </c>
      <c r="Z16">
        <v>4.72</v>
      </c>
    </row>
    <row r="17" spans="1:26" s="3" customFormat="1" x14ac:dyDescent="0.25">
      <c r="A17" s="3">
        <v>46</v>
      </c>
      <c r="B17" s="3">
        <v>2.1800000000000002</v>
      </c>
      <c r="C17" s="3" t="s">
        <v>13</v>
      </c>
      <c r="D17" s="3">
        <v>6.33</v>
      </c>
      <c r="E17" s="3">
        <v>15.15</v>
      </c>
      <c r="F17" s="3">
        <v>21.48</v>
      </c>
      <c r="G17" s="3">
        <v>29.46</v>
      </c>
      <c r="H17" s="3">
        <f t="shared" si="0"/>
        <v>2.1821448823362632</v>
      </c>
      <c r="I17" s="3">
        <v>0.113</v>
      </c>
      <c r="J17" s="3" t="s">
        <v>1</v>
      </c>
      <c r="K17" s="3">
        <v>0.67</v>
      </c>
      <c r="L17" s="3">
        <v>0.64800000000000002</v>
      </c>
      <c r="M17" s="3">
        <v>6.7000000000000004E-2</v>
      </c>
      <c r="N17" s="3">
        <v>5.5E-2</v>
      </c>
      <c r="O17" s="3">
        <v>0.28199999999999997</v>
      </c>
      <c r="P17" s="3">
        <v>0.24399999999999999</v>
      </c>
      <c r="Q17" s="3">
        <v>576</v>
      </c>
      <c r="R17" s="3">
        <v>76.2</v>
      </c>
      <c r="S17" s="3">
        <v>96</v>
      </c>
      <c r="T17" s="3">
        <v>1.26</v>
      </c>
      <c r="U17" s="3">
        <v>1116</v>
      </c>
      <c r="V17" s="3">
        <f t="shared" si="1"/>
        <v>33.406586176980134</v>
      </c>
      <c r="W17" s="3" t="s">
        <v>2</v>
      </c>
      <c r="X17" s="3" t="s">
        <v>3</v>
      </c>
      <c r="Y17" s="3">
        <v>3.07</v>
      </c>
      <c r="Z17" s="3">
        <v>2.97</v>
      </c>
    </row>
    <row r="18" spans="1:26" s="3" customFormat="1" x14ac:dyDescent="0.25">
      <c r="A18" s="3">
        <v>47</v>
      </c>
      <c r="B18" s="3">
        <v>2.1800000000000002</v>
      </c>
      <c r="C18" s="3" t="s">
        <v>13</v>
      </c>
      <c r="D18" s="3">
        <v>6.56</v>
      </c>
      <c r="E18" s="3">
        <v>17.23</v>
      </c>
      <c r="F18" s="3">
        <v>23.79</v>
      </c>
      <c r="G18" s="3">
        <v>27.57</v>
      </c>
      <c r="H18" s="3">
        <f t="shared" si="0"/>
        <v>1.9888616595333426</v>
      </c>
      <c r="I18" s="3">
        <v>0.115</v>
      </c>
      <c r="J18" s="3" t="s">
        <v>1</v>
      </c>
      <c r="K18" s="3">
        <v>0.57799999999999996</v>
      </c>
      <c r="L18" s="3">
        <v>0.56999999999999995</v>
      </c>
      <c r="M18" s="3">
        <v>6.5000000000000002E-2</v>
      </c>
      <c r="N18" s="3">
        <v>5.1999999999999998E-2</v>
      </c>
      <c r="O18" s="3">
        <v>0.25600000000000001</v>
      </c>
      <c r="P18" s="3">
        <v>0.186</v>
      </c>
      <c r="Q18" s="3">
        <v>638</v>
      </c>
      <c r="R18" s="3">
        <v>100.8</v>
      </c>
      <c r="S18" s="3">
        <v>128</v>
      </c>
      <c r="T18" s="3">
        <v>1.27</v>
      </c>
      <c r="U18" s="3">
        <v>1209</v>
      </c>
      <c r="V18" s="3">
        <f t="shared" si="1"/>
        <v>34.770677301427419</v>
      </c>
      <c r="W18" s="3" t="s">
        <v>2</v>
      </c>
      <c r="X18" s="3" t="s">
        <v>3</v>
      </c>
      <c r="Y18" s="3">
        <v>2.65</v>
      </c>
      <c r="Z18" s="3">
        <v>2.61</v>
      </c>
    </row>
    <row r="19" spans="1:26" s="3" customFormat="1" x14ac:dyDescent="0.25">
      <c r="A19" s="3">
        <v>48</v>
      </c>
      <c r="B19" s="3">
        <v>2.1800000000000002</v>
      </c>
      <c r="C19" s="3" t="s">
        <v>13</v>
      </c>
      <c r="D19" s="3">
        <v>4.82</v>
      </c>
      <c r="E19" s="3">
        <v>13.7</v>
      </c>
      <c r="F19" s="3">
        <v>18.52</v>
      </c>
      <c r="G19" s="3">
        <v>26.01</v>
      </c>
      <c r="H19" s="3">
        <f t="shared" si="0"/>
        <v>1.83676510339235</v>
      </c>
      <c r="I19" s="3">
        <v>0.11700000000000001</v>
      </c>
      <c r="J19" s="3" t="s">
        <v>1</v>
      </c>
      <c r="K19" s="3">
        <v>0.33300000000000002</v>
      </c>
      <c r="L19" s="3">
        <v>0.32</v>
      </c>
      <c r="M19" s="3">
        <v>6.0999999999999999E-2</v>
      </c>
      <c r="N19" s="3">
        <v>5.5E-2</v>
      </c>
      <c r="O19" s="3">
        <v>0.127</v>
      </c>
      <c r="P19" s="3">
        <v>0.11</v>
      </c>
      <c r="Q19" s="3">
        <v>497</v>
      </c>
      <c r="R19" s="3">
        <v>145.19999999999999</v>
      </c>
      <c r="S19" s="3">
        <v>167.5</v>
      </c>
      <c r="T19" s="3">
        <v>1.1499999999999999</v>
      </c>
      <c r="U19" s="3">
        <v>925</v>
      </c>
      <c r="V19" s="3">
        <f t="shared" si="1"/>
        <v>30.413812651491099</v>
      </c>
      <c r="W19" s="3" t="s">
        <v>2</v>
      </c>
      <c r="X19" s="3" t="s">
        <v>3</v>
      </c>
      <c r="Y19" s="3">
        <v>1.53</v>
      </c>
      <c r="Z19" s="3">
        <v>1.47</v>
      </c>
    </row>
    <row r="20" spans="1:26" x14ac:dyDescent="0.25">
      <c r="A20">
        <v>54</v>
      </c>
      <c r="B20">
        <v>2.72</v>
      </c>
      <c r="C20" t="s">
        <v>13</v>
      </c>
      <c r="D20">
        <v>85.5</v>
      </c>
      <c r="E20">
        <v>231.8</v>
      </c>
      <c r="F20">
        <v>317.3</v>
      </c>
      <c r="G20">
        <v>26.95</v>
      </c>
      <c r="H20">
        <f t="shared" si="0"/>
        <v>1.9276351813826147</v>
      </c>
      <c r="I20">
        <v>0.11600000000000001</v>
      </c>
      <c r="J20" t="s">
        <v>1</v>
      </c>
      <c r="K20">
        <v>2.0499999999999998</v>
      </c>
      <c r="L20">
        <v>1.1930000000000001</v>
      </c>
      <c r="M20">
        <v>0.19400000000000001</v>
      </c>
      <c r="N20">
        <v>0.11</v>
      </c>
      <c r="O20">
        <v>2.5</v>
      </c>
      <c r="P20">
        <v>0.82499999999999996</v>
      </c>
      <c r="Q20">
        <v>5470</v>
      </c>
      <c r="R20">
        <v>127</v>
      </c>
      <c r="S20">
        <v>385</v>
      </c>
      <c r="T20">
        <v>3.03</v>
      </c>
      <c r="U20">
        <v>12850</v>
      </c>
      <c r="V20">
        <f t="shared" si="1"/>
        <v>113.35784048754634</v>
      </c>
      <c r="W20" t="s">
        <v>3</v>
      </c>
      <c r="X20" t="s">
        <v>2</v>
      </c>
      <c r="Y20">
        <v>7.53</v>
      </c>
      <c r="Z20">
        <v>4.3899999999999997</v>
      </c>
    </row>
    <row r="21" spans="1:26" x14ac:dyDescent="0.25">
      <c r="A21">
        <v>55</v>
      </c>
      <c r="B21">
        <v>2.72</v>
      </c>
      <c r="C21" t="s">
        <v>13</v>
      </c>
      <c r="D21">
        <v>86.5</v>
      </c>
      <c r="E21">
        <v>328.7</v>
      </c>
      <c r="F21">
        <v>415.2</v>
      </c>
      <c r="G21">
        <v>20.83</v>
      </c>
      <c r="H21">
        <f t="shared" si="0"/>
        <v>1.374722116963496</v>
      </c>
      <c r="I21">
        <v>0.123</v>
      </c>
      <c r="J21" t="s">
        <v>1</v>
      </c>
      <c r="K21">
        <v>1.5</v>
      </c>
      <c r="L21">
        <v>0.88300000000000001</v>
      </c>
      <c r="M21">
        <v>0.186</v>
      </c>
      <c r="N21">
        <v>0.10299999999999999</v>
      </c>
      <c r="O21">
        <v>1.754</v>
      </c>
      <c r="P21">
        <v>0.57199999999999995</v>
      </c>
      <c r="Q21">
        <v>7150</v>
      </c>
      <c r="R21">
        <v>237</v>
      </c>
      <c r="S21">
        <v>725.9</v>
      </c>
      <c r="T21">
        <v>3.06</v>
      </c>
      <c r="U21">
        <v>15790</v>
      </c>
      <c r="V21">
        <f t="shared" si="1"/>
        <v>125.65826673959816</v>
      </c>
      <c r="W21" t="s">
        <v>3</v>
      </c>
      <c r="X21" t="s">
        <v>2</v>
      </c>
      <c r="Y21">
        <v>5.51</v>
      </c>
      <c r="Z21">
        <v>3.25</v>
      </c>
    </row>
    <row r="22" spans="1:26" x14ac:dyDescent="0.25">
      <c r="A22">
        <v>56</v>
      </c>
      <c r="B22">
        <v>2.72</v>
      </c>
      <c r="C22" t="s">
        <v>13</v>
      </c>
      <c r="D22">
        <v>87.4</v>
      </c>
      <c r="E22">
        <v>359.1</v>
      </c>
      <c r="F22">
        <v>446.5</v>
      </c>
      <c r="G22">
        <v>19.57</v>
      </c>
      <c r="H22">
        <f t="shared" si="0"/>
        <v>1.2713322143478802</v>
      </c>
      <c r="I22">
        <v>0.125</v>
      </c>
      <c r="J22" t="s">
        <v>1</v>
      </c>
      <c r="K22">
        <v>1.3859999999999999</v>
      </c>
      <c r="L22">
        <v>0.81499999999999995</v>
      </c>
      <c r="M22">
        <v>0.18099999999999999</v>
      </c>
      <c r="N22">
        <v>8.5999999999999993E-2</v>
      </c>
      <c r="O22">
        <v>1.5760000000000001</v>
      </c>
      <c r="P22">
        <v>0.441</v>
      </c>
      <c r="Q22">
        <v>7690</v>
      </c>
      <c r="R22">
        <v>283</v>
      </c>
      <c r="S22">
        <v>1011</v>
      </c>
      <c r="T22">
        <v>3.58</v>
      </c>
      <c r="U22">
        <v>16700</v>
      </c>
      <c r="V22">
        <f t="shared" si="1"/>
        <v>129.22847983320085</v>
      </c>
      <c r="W22" t="s">
        <v>3</v>
      </c>
      <c r="X22" t="s">
        <v>2</v>
      </c>
      <c r="Y22">
        <v>5.0999999999999996</v>
      </c>
      <c r="Z22">
        <v>3</v>
      </c>
    </row>
    <row r="23" spans="1:26" x14ac:dyDescent="0.25">
      <c r="A23">
        <v>57</v>
      </c>
      <c r="B23">
        <v>2.72</v>
      </c>
      <c r="C23" t="s">
        <v>13</v>
      </c>
      <c r="D23">
        <v>89.3</v>
      </c>
      <c r="E23">
        <v>374.3</v>
      </c>
      <c r="F23">
        <v>463.6</v>
      </c>
      <c r="G23">
        <v>19.260000000000002</v>
      </c>
      <c r="H23">
        <f t="shared" si="0"/>
        <v>1.2463896457765669</v>
      </c>
      <c r="I23">
        <v>0.126</v>
      </c>
      <c r="J23" t="s">
        <v>1</v>
      </c>
      <c r="K23">
        <v>1.413</v>
      </c>
      <c r="L23">
        <v>0.8</v>
      </c>
      <c r="M23">
        <v>0.18</v>
      </c>
      <c r="N23">
        <v>8.7999999999999995E-2</v>
      </c>
      <c r="O23">
        <v>1.5980000000000001</v>
      </c>
      <c r="P23">
        <v>0.443</v>
      </c>
      <c r="Q23">
        <v>7990</v>
      </c>
      <c r="R23">
        <v>290.10000000000002</v>
      </c>
      <c r="S23">
        <v>1046</v>
      </c>
      <c r="T23">
        <v>3.61</v>
      </c>
      <c r="U23">
        <v>17300</v>
      </c>
      <c r="V23">
        <f t="shared" si="1"/>
        <v>131.52946437965906</v>
      </c>
      <c r="W23" t="s">
        <v>3</v>
      </c>
      <c r="X23" t="s">
        <v>2</v>
      </c>
      <c r="Y23">
        <v>5.2</v>
      </c>
      <c r="Z23">
        <v>2.94</v>
      </c>
    </row>
    <row r="28" spans="1:26" x14ac:dyDescent="0.25">
      <c r="G28" s="2"/>
      <c r="H28" t="s">
        <v>102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E477-92B9-4CEF-BFD9-D3A9E289B8A1}">
  <dimension ref="A1:E46"/>
  <sheetViews>
    <sheetView workbookViewId="0">
      <selection activeCell="O12" sqref="O12"/>
    </sheetView>
  </sheetViews>
  <sheetFormatPr defaultRowHeight="15" x14ac:dyDescent="0.25"/>
  <sheetData>
    <row r="1" spans="1:5" x14ac:dyDescent="0.25">
      <c r="A1" t="s">
        <v>8</v>
      </c>
    </row>
    <row r="2" spans="1:5" x14ac:dyDescent="0.25">
      <c r="A2" t="s">
        <v>4</v>
      </c>
      <c r="B2" t="s">
        <v>9</v>
      </c>
      <c r="C2" t="s">
        <v>5</v>
      </c>
      <c r="D2" t="s">
        <v>6</v>
      </c>
      <c r="E2" t="s">
        <v>7</v>
      </c>
    </row>
    <row r="3" spans="1:5" x14ac:dyDescent="0.25">
      <c r="A3">
        <v>0</v>
      </c>
      <c r="B3">
        <v>4000</v>
      </c>
      <c r="C3">
        <v>0.161</v>
      </c>
      <c r="D3">
        <v>2</v>
      </c>
      <c r="E3">
        <v>1.41</v>
      </c>
    </row>
    <row r="4" spans="1:5" x14ac:dyDescent="0.25">
      <c r="A4">
        <v>0.1</v>
      </c>
      <c r="B4">
        <v>4000</v>
      </c>
      <c r="C4">
        <v>0.159</v>
      </c>
      <c r="D4">
        <v>7.1</v>
      </c>
      <c r="E4">
        <v>2.66</v>
      </c>
    </row>
    <row r="5" spans="1:5" x14ac:dyDescent="0.25">
      <c r="A5">
        <v>0.2</v>
      </c>
      <c r="B5">
        <v>4000</v>
      </c>
      <c r="C5">
        <v>0.152</v>
      </c>
      <c r="D5">
        <v>9.9</v>
      </c>
      <c r="E5">
        <v>3.14</v>
      </c>
    </row>
    <row r="6" spans="1:5" x14ac:dyDescent="0.25">
      <c r="A6">
        <v>0.3</v>
      </c>
      <c r="B6">
        <v>4000</v>
      </c>
      <c r="C6">
        <v>0.14899999999999999</v>
      </c>
      <c r="D6">
        <v>11.5</v>
      </c>
      <c r="E6">
        <v>3.4</v>
      </c>
    </row>
    <row r="7" spans="1:5" x14ac:dyDescent="0.25">
      <c r="A7">
        <v>0.4</v>
      </c>
      <c r="B7">
        <v>4000</v>
      </c>
      <c r="C7">
        <v>0.14199999999999999</v>
      </c>
      <c r="D7">
        <v>12.7</v>
      </c>
      <c r="E7">
        <v>3.56</v>
      </c>
    </row>
    <row r="8" spans="1:5" x14ac:dyDescent="0.25">
      <c r="A8">
        <v>0.5</v>
      </c>
      <c r="B8">
        <v>4000</v>
      </c>
      <c r="C8">
        <v>0.13200000000000001</v>
      </c>
      <c r="D8">
        <v>13.1</v>
      </c>
      <c r="E8">
        <v>3.63</v>
      </c>
    </row>
    <row r="9" spans="1:5" x14ac:dyDescent="0.25">
      <c r="A9">
        <v>0.6</v>
      </c>
      <c r="B9">
        <v>4000</v>
      </c>
      <c r="C9">
        <v>0.11799999999999999</v>
      </c>
      <c r="D9">
        <v>12.9</v>
      </c>
      <c r="E9">
        <v>3.59</v>
      </c>
    </row>
    <row r="10" spans="1:5" x14ac:dyDescent="0.25">
      <c r="A10">
        <v>0.7</v>
      </c>
      <c r="B10">
        <v>4000</v>
      </c>
      <c r="C10">
        <v>0.1</v>
      </c>
      <c r="D10">
        <v>11.8</v>
      </c>
      <c r="E10">
        <v>3.43</v>
      </c>
    </row>
    <row r="11" spans="1:5" x14ac:dyDescent="0.25">
      <c r="A11">
        <v>0.8</v>
      </c>
      <c r="B11">
        <v>4000</v>
      </c>
      <c r="C11">
        <v>7.5999999999999998E-2</v>
      </c>
      <c r="D11">
        <v>9.6</v>
      </c>
      <c r="E11">
        <v>3.09</v>
      </c>
    </row>
    <row r="12" spans="1:5" x14ac:dyDescent="0.25">
      <c r="A12">
        <v>0.9</v>
      </c>
      <c r="B12">
        <v>4000</v>
      </c>
      <c r="C12">
        <v>4.5999999999999999E-2</v>
      </c>
      <c r="D12">
        <v>6.2</v>
      </c>
      <c r="E12">
        <v>2.48</v>
      </c>
    </row>
    <row r="13" spans="1:5" x14ac:dyDescent="0.25">
      <c r="A13">
        <v>1</v>
      </c>
      <c r="B13">
        <v>4000</v>
      </c>
      <c r="C13">
        <v>0</v>
      </c>
      <c r="D13">
        <v>1</v>
      </c>
      <c r="E13">
        <v>1</v>
      </c>
    </row>
    <row r="14" spans="1:5" x14ac:dyDescent="0.25">
      <c r="A14">
        <v>0</v>
      </c>
      <c r="B14">
        <v>6100</v>
      </c>
      <c r="C14">
        <v>0.157</v>
      </c>
      <c r="D14">
        <v>2</v>
      </c>
      <c r="E14">
        <v>1.41</v>
      </c>
    </row>
    <row r="15" spans="1:5" x14ac:dyDescent="0.25">
      <c r="A15">
        <v>0.1</v>
      </c>
      <c r="B15">
        <v>6100</v>
      </c>
      <c r="C15">
        <v>0.156</v>
      </c>
      <c r="D15">
        <v>10.1</v>
      </c>
      <c r="E15">
        <v>3.17</v>
      </c>
    </row>
    <row r="16" spans="1:5" x14ac:dyDescent="0.25">
      <c r="A16">
        <v>0.2</v>
      </c>
      <c r="B16">
        <v>6100</v>
      </c>
      <c r="C16">
        <v>0.152</v>
      </c>
      <c r="D16">
        <v>13.8</v>
      </c>
      <c r="E16">
        <v>3.72</v>
      </c>
    </row>
    <row r="17" spans="1:5" x14ac:dyDescent="0.25">
      <c r="A17">
        <v>0.3</v>
      </c>
      <c r="B17">
        <v>6100</v>
      </c>
      <c r="C17">
        <v>0.14499999999999999</v>
      </c>
      <c r="D17">
        <v>16.2</v>
      </c>
      <c r="E17">
        <v>4.03</v>
      </c>
    </row>
    <row r="18" spans="1:5" x14ac:dyDescent="0.25">
      <c r="A18">
        <v>0.4</v>
      </c>
      <c r="B18">
        <v>6100</v>
      </c>
      <c r="C18">
        <v>0.13700000000000001</v>
      </c>
      <c r="D18">
        <v>17.899999999999999</v>
      </c>
      <c r="E18">
        <v>4.2300000000000004</v>
      </c>
    </row>
    <row r="19" spans="1:5" x14ac:dyDescent="0.25">
      <c r="A19">
        <v>0.5</v>
      </c>
      <c r="B19">
        <v>6100</v>
      </c>
      <c r="C19">
        <v>0.13</v>
      </c>
      <c r="D19">
        <v>18.7</v>
      </c>
      <c r="E19">
        <v>4.32</v>
      </c>
    </row>
    <row r="20" spans="1:5" x14ac:dyDescent="0.25">
      <c r="A20">
        <v>0.6</v>
      </c>
      <c r="B20">
        <v>6100</v>
      </c>
      <c r="C20">
        <v>0.11600000000000001</v>
      </c>
      <c r="D20">
        <v>18.2</v>
      </c>
      <c r="E20">
        <v>4.2699999999999996</v>
      </c>
    </row>
    <row r="21" spans="1:5" x14ac:dyDescent="0.25">
      <c r="A21">
        <v>0.7</v>
      </c>
      <c r="B21">
        <v>6100</v>
      </c>
      <c r="C21">
        <v>9.8000000000000004E-2</v>
      </c>
      <c r="D21">
        <v>16.7</v>
      </c>
      <c r="E21">
        <v>4.08</v>
      </c>
    </row>
    <row r="22" spans="1:5" x14ac:dyDescent="0.25">
      <c r="A22">
        <v>0.8</v>
      </c>
      <c r="B22">
        <v>6100</v>
      </c>
      <c r="C22">
        <v>7.4999999999999997E-2</v>
      </c>
      <c r="D22">
        <v>13.7</v>
      </c>
      <c r="E22">
        <v>3.7</v>
      </c>
    </row>
    <row r="23" spans="1:5" x14ac:dyDescent="0.25">
      <c r="A23">
        <v>0.9</v>
      </c>
      <c r="B23">
        <v>6100</v>
      </c>
      <c r="C23">
        <v>4.4999999999999998E-2</v>
      </c>
      <c r="D23">
        <v>8.6</v>
      </c>
      <c r="E23">
        <v>2.94</v>
      </c>
    </row>
    <row r="24" spans="1:5" x14ac:dyDescent="0.25">
      <c r="A24">
        <v>1</v>
      </c>
      <c r="B24">
        <v>6100</v>
      </c>
      <c r="C24">
        <v>0</v>
      </c>
      <c r="D24">
        <v>1</v>
      </c>
      <c r="E24">
        <v>1</v>
      </c>
    </row>
    <row r="25" spans="1:5" x14ac:dyDescent="0.25">
      <c r="A25">
        <v>0</v>
      </c>
      <c r="B25">
        <v>16700</v>
      </c>
      <c r="C25">
        <v>0.154</v>
      </c>
      <c r="D25">
        <v>2</v>
      </c>
      <c r="E25">
        <v>1.41</v>
      </c>
    </row>
    <row r="26" spans="1:5" x14ac:dyDescent="0.25">
      <c r="A26">
        <v>0.1</v>
      </c>
      <c r="B26">
        <v>16700</v>
      </c>
      <c r="C26">
        <v>0.14499999999999999</v>
      </c>
      <c r="D26">
        <v>22.1</v>
      </c>
      <c r="E26">
        <v>4.7</v>
      </c>
    </row>
    <row r="27" spans="1:5" x14ac:dyDescent="0.25">
      <c r="A27">
        <v>0.2</v>
      </c>
      <c r="B27">
        <v>16700</v>
      </c>
      <c r="C27">
        <v>0.14299999999999999</v>
      </c>
      <c r="D27">
        <v>30.9</v>
      </c>
      <c r="E27">
        <v>5.56</v>
      </c>
    </row>
    <row r="28" spans="1:5" x14ac:dyDescent="0.25">
      <c r="A28">
        <v>0.3</v>
      </c>
      <c r="B28">
        <v>16700</v>
      </c>
      <c r="C28">
        <v>0.14000000000000001</v>
      </c>
      <c r="D28">
        <v>37</v>
      </c>
      <c r="E28">
        <v>6.08</v>
      </c>
    </row>
    <row r="29" spans="1:5" x14ac:dyDescent="0.25">
      <c r="A29">
        <v>0.4</v>
      </c>
      <c r="B29">
        <v>16700</v>
      </c>
      <c r="C29">
        <v>0.13</v>
      </c>
      <c r="D29">
        <v>39.799999999999997</v>
      </c>
      <c r="E29">
        <v>6.31</v>
      </c>
    </row>
    <row r="30" spans="1:5" x14ac:dyDescent="0.25">
      <c r="A30">
        <v>0.5</v>
      </c>
      <c r="B30">
        <v>16700</v>
      </c>
      <c r="C30">
        <v>0.122</v>
      </c>
      <c r="D30">
        <v>42.2</v>
      </c>
      <c r="E30">
        <v>6.5</v>
      </c>
    </row>
    <row r="31" spans="1:5" x14ac:dyDescent="0.25">
      <c r="A31">
        <v>0.6</v>
      </c>
      <c r="B31">
        <v>16700</v>
      </c>
      <c r="C31">
        <v>0.112</v>
      </c>
      <c r="D31">
        <v>41.9</v>
      </c>
      <c r="E31">
        <v>6.47</v>
      </c>
    </row>
    <row r="32" spans="1:5" x14ac:dyDescent="0.25">
      <c r="A32">
        <v>0.7</v>
      </c>
      <c r="B32">
        <v>16700</v>
      </c>
      <c r="C32">
        <v>9.6000000000000002E-2</v>
      </c>
      <c r="D32">
        <v>38.799999999999997</v>
      </c>
      <c r="E32">
        <v>6.23</v>
      </c>
    </row>
    <row r="33" spans="1:5" x14ac:dyDescent="0.25">
      <c r="A33">
        <v>0.8</v>
      </c>
      <c r="B33">
        <v>16700</v>
      </c>
      <c r="C33">
        <v>7.1999999999999995E-2</v>
      </c>
      <c r="D33">
        <v>31.2</v>
      </c>
      <c r="E33">
        <v>5.59</v>
      </c>
    </row>
    <row r="34" spans="1:5" x14ac:dyDescent="0.25">
      <c r="A34">
        <v>0.9</v>
      </c>
      <c r="B34">
        <v>16700</v>
      </c>
      <c r="C34">
        <v>4.2999999999999997E-2</v>
      </c>
      <c r="D34">
        <v>19.8</v>
      </c>
      <c r="E34">
        <v>4.45</v>
      </c>
    </row>
    <row r="35" spans="1:5" x14ac:dyDescent="0.25">
      <c r="A35">
        <v>1</v>
      </c>
      <c r="B35">
        <v>16700</v>
      </c>
      <c r="C35">
        <v>0</v>
      </c>
      <c r="D35">
        <v>1</v>
      </c>
      <c r="E35">
        <v>1</v>
      </c>
    </row>
    <row r="36" spans="1:5" x14ac:dyDescent="0.25">
      <c r="A36">
        <v>0</v>
      </c>
      <c r="B36">
        <v>23300</v>
      </c>
      <c r="C36">
        <v>0.14799999999999999</v>
      </c>
      <c r="D36">
        <v>2</v>
      </c>
      <c r="E36">
        <v>1.41</v>
      </c>
    </row>
    <row r="37" spans="1:5" x14ac:dyDescent="0.25">
      <c r="A37">
        <v>0.1</v>
      </c>
      <c r="B37">
        <v>23300</v>
      </c>
      <c r="C37">
        <v>0.14399999999999999</v>
      </c>
      <c r="D37">
        <v>29.4</v>
      </c>
      <c r="E37">
        <v>5.42</v>
      </c>
    </row>
    <row r="38" spans="1:5" x14ac:dyDescent="0.25">
      <c r="A38">
        <v>0.2</v>
      </c>
      <c r="B38">
        <v>23300</v>
      </c>
      <c r="C38">
        <v>0.14299999999999999</v>
      </c>
      <c r="D38">
        <v>41.2</v>
      </c>
      <c r="E38">
        <v>6.42</v>
      </c>
    </row>
    <row r="39" spans="1:5" x14ac:dyDescent="0.25">
      <c r="A39">
        <v>0.3</v>
      </c>
      <c r="B39">
        <v>23300</v>
      </c>
      <c r="C39">
        <v>0.13700000000000001</v>
      </c>
      <c r="D39">
        <v>48.6</v>
      </c>
      <c r="E39">
        <v>6.97</v>
      </c>
    </row>
    <row r="40" spans="1:5" x14ac:dyDescent="0.25">
      <c r="A40">
        <v>0.4</v>
      </c>
      <c r="B40">
        <v>23300</v>
      </c>
      <c r="C40">
        <v>0.129</v>
      </c>
      <c r="D40">
        <v>52.6</v>
      </c>
      <c r="E40">
        <v>7.25</v>
      </c>
    </row>
    <row r="41" spans="1:5" x14ac:dyDescent="0.25">
      <c r="A41">
        <v>0.5</v>
      </c>
      <c r="B41">
        <v>23300</v>
      </c>
      <c r="C41">
        <v>0.122</v>
      </c>
      <c r="D41">
        <v>55.5</v>
      </c>
      <c r="E41">
        <v>7.45</v>
      </c>
    </row>
    <row r="42" spans="1:5" x14ac:dyDescent="0.25">
      <c r="A42">
        <v>0.6</v>
      </c>
      <c r="B42">
        <v>23300</v>
      </c>
      <c r="C42">
        <v>0.109</v>
      </c>
      <c r="D42">
        <v>54.5</v>
      </c>
      <c r="E42">
        <v>7.38</v>
      </c>
    </row>
    <row r="43" spans="1:5" x14ac:dyDescent="0.25">
      <c r="A43">
        <v>0.7</v>
      </c>
      <c r="B43">
        <v>23300</v>
      </c>
      <c r="C43">
        <v>9.1999999999999998E-2</v>
      </c>
      <c r="D43">
        <v>49.7</v>
      </c>
      <c r="E43">
        <v>7.05</v>
      </c>
    </row>
    <row r="44" spans="1:5" x14ac:dyDescent="0.25">
      <c r="A44">
        <v>0.8</v>
      </c>
      <c r="B44">
        <v>23300</v>
      </c>
      <c r="C44">
        <v>7.0000000000000007E-2</v>
      </c>
      <c r="D44">
        <v>40.4</v>
      </c>
      <c r="E44">
        <v>6.35</v>
      </c>
    </row>
    <row r="45" spans="1:5" x14ac:dyDescent="0.25">
      <c r="A45">
        <v>0.9</v>
      </c>
      <c r="B45">
        <v>23300</v>
      </c>
      <c r="C45">
        <v>4.2999999999999997E-2</v>
      </c>
      <c r="D45">
        <v>26.2</v>
      </c>
      <c r="E45">
        <v>5.12</v>
      </c>
    </row>
    <row r="46" spans="1:5" x14ac:dyDescent="0.25">
      <c r="A46">
        <v>1</v>
      </c>
      <c r="B46">
        <v>23300</v>
      </c>
      <c r="C46">
        <v>0</v>
      </c>
      <c r="D46">
        <v>1</v>
      </c>
      <c r="E4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82B1-63A9-4B7B-84B5-5D18A06DD41B}">
  <dimension ref="A1:H31"/>
  <sheetViews>
    <sheetView workbookViewId="0">
      <selection activeCell="J9" sqref="J9"/>
    </sheetView>
  </sheetViews>
  <sheetFormatPr defaultRowHeight="15" x14ac:dyDescent="0.25"/>
  <sheetData>
    <row r="1" spans="1:8" x14ac:dyDescent="0.25">
      <c r="A1" t="s">
        <v>10</v>
      </c>
      <c r="B1" t="s">
        <v>9</v>
      </c>
      <c r="C1" t="s">
        <v>6</v>
      </c>
      <c r="D1" t="s">
        <v>7</v>
      </c>
      <c r="E1" t="s">
        <v>42</v>
      </c>
      <c r="F1" t="s">
        <v>11</v>
      </c>
      <c r="G1" t="s">
        <v>101</v>
      </c>
      <c r="H1" t="s">
        <v>5</v>
      </c>
    </row>
    <row r="2" spans="1:8" x14ac:dyDescent="0.25">
      <c r="A2">
        <v>2</v>
      </c>
      <c r="B2" t="s">
        <v>12</v>
      </c>
      <c r="C2" t="s">
        <v>13</v>
      </c>
      <c r="D2" t="s">
        <v>13</v>
      </c>
      <c r="E2">
        <v>0.17</v>
      </c>
      <c r="F2">
        <v>0.35</v>
      </c>
      <c r="G2">
        <v>0.51</v>
      </c>
      <c r="H2">
        <v>3.5000000000000003E-2</v>
      </c>
    </row>
    <row r="3" spans="1:8" x14ac:dyDescent="0.25">
      <c r="A3">
        <v>4</v>
      </c>
      <c r="B3" t="s">
        <v>12</v>
      </c>
      <c r="C3" t="s">
        <v>13</v>
      </c>
      <c r="D3" t="s">
        <v>13</v>
      </c>
      <c r="E3">
        <v>0.33</v>
      </c>
      <c r="F3">
        <v>0.69</v>
      </c>
      <c r="G3">
        <v>1.02</v>
      </c>
      <c r="H3">
        <v>7.0000000000000007E-2</v>
      </c>
    </row>
    <row r="4" spans="1:8" x14ac:dyDescent="0.25">
      <c r="A4">
        <v>6</v>
      </c>
      <c r="B4" t="s">
        <v>12</v>
      </c>
      <c r="C4" t="s">
        <v>13</v>
      </c>
      <c r="D4" t="s">
        <v>13</v>
      </c>
      <c r="E4">
        <v>0.5</v>
      </c>
      <c r="F4">
        <v>1.04</v>
      </c>
      <c r="G4">
        <v>1.54</v>
      </c>
      <c r="H4">
        <v>0.104</v>
      </c>
    </row>
    <row r="5" spans="1:8" x14ac:dyDescent="0.25">
      <c r="A5">
        <v>8</v>
      </c>
      <c r="B5" t="s">
        <v>12</v>
      </c>
      <c r="C5" t="s">
        <v>13</v>
      </c>
      <c r="D5" t="s">
        <v>13</v>
      </c>
      <c r="E5">
        <v>0.66</v>
      </c>
      <c r="F5">
        <v>1.38</v>
      </c>
      <c r="G5">
        <v>2.04</v>
      </c>
      <c r="H5">
        <v>0.13900000000000001</v>
      </c>
    </row>
    <row r="6" spans="1:8" x14ac:dyDescent="0.25">
      <c r="A6">
        <v>10</v>
      </c>
      <c r="B6" t="s">
        <v>12</v>
      </c>
      <c r="C6" t="s">
        <v>13</v>
      </c>
      <c r="D6" t="s">
        <v>13</v>
      </c>
      <c r="E6">
        <v>0.83</v>
      </c>
      <c r="F6">
        <v>1.73</v>
      </c>
      <c r="G6">
        <v>2.56</v>
      </c>
      <c r="H6">
        <v>0.17399999999999999</v>
      </c>
    </row>
    <row r="7" spans="1:8" x14ac:dyDescent="0.25">
      <c r="A7">
        <v>12.08</v>
      </c>
      <c r="B7" t="s">
        <v>12</v>
      </c>
      <c r="C7" t="s">
        <v>13</v>
      </c>
      <c r="D7" t="s">
        <v>13</v>
      </c>
      <c r="E7">
        <v>1</v>
      </c>
      <c r="F7">
        <v>2.08</v>
      </c>
      <c r="G7">
        <v>3.08</v>
      </c>
      <c r="H7">
        <v>0.21</v>
      </c>
    </row>
    <row r="8" spans="1:8" x14ac:dyDescent="0.25">
      <c r="A8">
        <v>2</v>
      </c>
      <c r="B8">
        <v>4000</v>
      </c>
      <c r="C8">
        <v>4.8</v>
      </c>
      <c r="D8">
        <v>2.17</v>
      </c>
      <c r="E8" t="s">
        <v>13</v>
      </c>
      <c r="F8" t="s">
        <v>13</v>
      </c>
      <c r="G8" t="s">
        <v>13</v>
      </c>
      <c r="H8" t="s">
        <v>13</v>
      </c>
    </row>
    <row r="9" spans="1:8" x14ac:dyDescent="0.25">
      <c r="A9">
        <v>4</v>
      </c>
      <c r="B9">
        <v>4000</v>
      </c>
      <c r="C9">
        <v>9.5</v>
      </c>
      <c r="D9">
        <v>3.08</v>
      </c>
      <c r="E9" t="s">
        <v>13</v>
      </c>
      <c r="F9" t="s">
        <v>13</v>
      </c>
      <c r="G9" t="s">
        <v>13</v>
      </c>
      <c r="H9" t="s">
        <v>13</v>
      </c>
    </row>
    <row r="10" spans="1:8" x14ac:dyDescent="0.25">
      <c r="A10">
        <v>6</v>
      </c>
      <c r="B10">
        <v>4000</v>
      </c>
      <c r="C10">
        <v>14.3</v>
      </c>
      <c r="D10">
        <v>3.78</v>
      </c>
      <c r="E10" t="s">
        <v>13</v>
      </c>
      <c r="F10" t="s">
        <v>13</v>
      </c>
      <c r="G10" t="s">
        <v>13</v>
      </c>
      <c r="H10" t="s">
        <v>13</v>
      </c>
    </row>
    <row r="11" spans="1:8" x14ac:dyDescent="0.25">
      <c r="A11">
        <v>8</v>
      </c>
      <c r="B11">
        <v>4000</v>
      </c>
      <c r="C11">
        <v>19</v>
      </c>
      <c r="D11">
        <v>4.3499999999999996</v>
      </c>
      <c r="E11" t="s">
        <v>13</v>
      </c>
      <c r="F11" t="s">
        <v>13</v>
      </c>
      <c r="G11" t="s">
        <v>13</v>
      </c>
      <c r="H11" t="s">
        <v>13</v>
      </c>
    </row>
    <row r="12" spans="1:8" x14ac:dyDescent="0.25">
      <c r="A12">
        <v>10</v>
      </c>
      <c r="B12">
        <v>4000</v>
      </c>
      <c r="C12">
        <v>23.8</v>
      </c>
      <c r="D12">
        <v>4.87</v>
      </c>
      <c r="E12" t="s">
        <v>13</v>
      </c>
      <c r="F12" t="s">
        <v>13</v>
      </c>
      <c r="G12" t="s">
        <v>13</v>
      </c>
      <c r="H12" t="s">
        <v>13</v>
      </c>
    </row>
    <row r="13" spans="1:8" x14ac:dyDescent="0.25">
      <c r="A13">
        <v>12.08</v>
      </c>
      <c r="B13">
        <v>4000</v>
      </c>
      <c r="C13">
        <v>28.7</v>
      </c>
      <c r="D13">
        <v>5.35</v>
      </c>
      <c r="E13" t="s">
        <v>13</v>
      </c>
      <c r="F13" t="s">
        <v>13</v>
      </c>
      <c r="G13" t="s">
        <v>13</v>
      </c>
      <c r="H13" t="s">
        <v>13</v>
      </c>
    </row>
    <row r="14" spans="1:8" x14ac:dyDescent="0.25">
      <c r="A14">
        <v>2</v>
      </c>
      <c r="B14">
        <v>6100</v>
      </c>
      <c r="C14">
        <v>7.3</v>
      </c>
      <c r="D14">
        <v>2.69</v>
      </c>
      <c r="E14" t="s">
        <v>13</v>
      </c>
      <c r="F14" t="s">
        <v>13</v>
      </c>
      <c r="G14" t="s">
        <v>13</v>
      </c>
      <c r="H14" t="s">
        <v>13</v>
      </c>
    </row>
    <row r="15" spans="1:8" x14ac:dyDescent="0.25">
      <c r="A15">
        <v>4</v>
      </c>
      <c r="B15">
        <v>6100</v>
      </c>
      <c r="C15">
        <v>14.5</v>
      </c>
      <c r="D15">
        <v>3.81</v>
      </c>
      <c r="E15" t="s">
        <v>13</v>
      </c>
      <c r="F15" t="s">
        <v>13</v>
      </c>
      <c r="G15" t="s">
        <v>13</v>
      </c>
      <c r="H15" t="s">
        <v>13</v>
      </c>
    </row>
    <row r="16" spans="1:8" x14ac:dyDescent="0.25">
      <c r="A16">
        <v>6</v>
      </c>
      <c r="B16">
        <v>6100</v>
      </c>
      <c r="C16">
        <v>21.8</v>
      </c>
      <c r="D16">
        <v>4.66</v>
      </c>
      <c r="E16" t="s">
        <v>13</v>
      </c>
      <c r="F16" t="s">
        <v>13</v>
      </c>
      <c r="G16" t="s">
        <v>13</v>
      </c>
      <c r="H16" t="s">
        <v>13</v>
      </c>
    </row>
    <row r="17" spans="1:8" x14ac:dyDescent="0.25">
      <c r="A17">
        <v>8</v>
      </c>
      <c r="B17">
        <v>6100</v>
      </c>
      <c r="C17">
        <v>29</v>
      </c>
      <c r="D17">
        <v>5.39</v>
      </c>
      <c r="E17" t="s">
        <v>13</v>
      </c>
      <c r="F17" t="s">
        <v>13</v>
      </c>
      <c r="G17" t="s">
        <v>13</v>
      </c>
      <c r="H17" t="s">
        <v>13</v>
      </c>
    </row>
    <row r="18" spans="1:8" x14ac:dyDescent="0.25">
      <c r="A18">
        <v>10</v>
      </c>
      <c r="B18">
        <v>6100</v>
      </c>
      <c r="C18">
        <v>36.200000000000003</v>
      </c>
      <c r="D18">
        <v>6.02</v>
      </c>
      <c r="E18" t="s">
        <v>13</v>
      </c>
      <c r="F18" t="s">
        <v>13</v>
      </c>
      <c r="G18" t="s">
        <v>13</v>
      </c>
      <c r="H18" t="s">
        <v>13</v>
      </c>
    </row>
    <row r="19" spans="1:8" x14ac:dyDescent="0.25">
      <c r="A19">
        <v>12.08</v>
      </c>
      <c r="B19">
        <v>6100</v>
      </c>
      <c r="C19">
        <v>43.8</v>
      </c>
      <c r="D19">
        <v>6.61</v>
      </c>
      <c r="E19" t="s">
        <v>13</v>
      </c>
      <c r="F19" t="s">
        <v>13</v>
      </c>
      <c r="G19" t="s">
        <v>13</v>
      </c>
      <c r="H19" t="s">
        <v>13</v>
      </c>
    </row>
    <row r="20" spans="1:8" x14ac:dyDescent="0.25">
      <c r="A20">
        <v>2</v>
      </c>
      <c r="B20">
        <v>16700</v>
      </c>
      <c r="C20">
        <v>19.899999999999999</v>
      </c>
      <c r="D20">
        <v>4.46</v>
      </c>
      <c r="E20" t="s">
        <v>13</v>
      </c>
      <c r="F20" t="s">
        <v>13</v>
      </c>
      <c r="G20" t="s">
        <v>13</v>
      </c>
      <c r="H20" t="s">
        <v>13</v>
      </c>
    </row>
    <row r="21" spans="1:8" x14ac:dyDescent="0.25">
      <c r="A21">
        <v>4</v>
      </c>
      <c r="B21">
        <v>16700</v>
      </c>
      <c r="C21">
        <v>39.700000000000003</v>
      </c>
      <c r="D21">
        <v>6.3</v>
      </c>
      <c r="E21" t="s">
        <v>13</v>
      </c>
      <c r="F21" t="s">
        <v>13</v>
      </c>
      <c r="G21" t="s">
        <v>13</v>
      </c>
      <c r="H21" t="s">
        <v>13</v>
      </c>
    </row>
    <row r="22" spans="1:8" x14ac:dyDescent="0.25">
      <c r="A22">
        <v>6</v>
      </c>
      <c r="B22">
        <v>16700</v>
      </c>
      <c r="C22">
        <v>59.6</v>
      </c>
      <c r="D22">
        <v>7.72</v>
      </c>
      <c r="E22" t="s">
        <v>13</v>
      </c>
      <c r="F22" t="s">
        <v>13</v>
      </c>
      <c r="G22" t="s">
        <v>13</v>
      </c>
      <c r="H22" t="s">
        <v>13</v>
      </c>
    </row>
    <row r="23" spans="1:8" x14ac:dyDescent="0.25">
      <c r="A23">
        <v>8</v>
      </c>
      <c r="B23">
        <v>16700</v>
      </c>
      <c r="C23">
        <v>79.400000000000006</v>
      </c>
      <c r="D23">
        <v>8.91</v>
      </c>
      <c r="E23" t="s">
        <v>13</v>
      </c>
      <c r="F23" t="s">
        <v>13</v>
      </c>
      <c r="G23" t="s">
        <v>13</v>
      </c>
      <c r="H23" t="s">
        <v>13</v>
      </c>
    </row>
    <row r="24" spans="1:8" x14ac:dyDescent="0.25">
      <c r="A24">
        <v>10</v>
      </c>
      <c r="B24">
        <v>16700</v>
      </c>
      <c r="C24">
        <v>99</v>
      </c>
      <c r="D24">
        <v>10</v>
      </c>
      <c r="E24" t="s">
        <v>13</v>
      </c>
      <c r="F24" t="s">
        <v>13</v>
      </c>
      <c r="G24" t="s">
        <v>13</v>
      </c>
      <c r="H24" t="s">
        <v>13</v>
      </c>
    </row>
    <row r="25" spans="1:8" x14ac:dyDescent="0.25">
      <c r="A25">
        <v>12.08</v>
      </c>
      <c r="B25">
        <v>16700</v>
      </c>
      <c r="C25">
        <v>120</v>
      </c>
      <c r="D25">
        <v>11</v>
      </c>
      <c r="E25" t="s">
        <v>13</v>
      </c>
      <c r="F25" t="s">
        <v>13</v>
      </c>
      <c r="G25" t="s">
        <v>13</v>
      </c>
      <c r="H25" t="s">
        <v>13</v>
      </c>
    </row>
    <row r="26" spans="1:8" x14ac:dyDescent="0.25">
      <c r="A26">
        <v>2</v>
      </c>
      <c r="B26">
        <v>23300</v>
      </c>
      <c r="C26">
        <v>27.7</v>
      </c>
      <c r="D26">
        <v>5.26</v>
      </c>
      <c r="E26" t="s">
        <v>13</v>
      </c>
      <c r="F26" t="s">
        <v>13</v>
      </c>
      <c r="G26" t="s">
        <v>13</v>
      </c>
      <c r="H26" t="s">
        <v>13</v>
      </c>
    </row>
    <row r="27" spans="1:8" x14ac:dyDescent="0.25">
      <c r="A27">
        <v>4</v>
      </c>
      <c r="B27">
        <v>23300</v>
      </c>
      <c r="C27">
        <v>55.4</v>
      </c>
      <c r="D27">
        <v>7.44</v>
      </c>
      <c r="E27" t="s">
        <v>13</v>
      </c>
      <c r="F27" t="s">
        <v>13</v>
      </c>
      <c r="G27" t="s">
        <v>13</v>
      </c>
      <c r="H27" t="s">
        <v>13</v>
      </c>
    </row>
    <row r="28" spans="1:8" x14ac:dyDescent="0.25">
      <c r="A28">
        <v>6</v>
      </c>
      <c r="B28">
        <v>23300</v>
      </c>
      <c r="C28">
        <v>83.1</v>
      </c>
      <c r="D28">
        <v>9.1</v>
      </c>
      <c r="E28" t="s">
        <v>13</v>
      </c>
      <c r="F28" t="s">
        <v>13</v>
      </c>
      <c r="G28" t="s">
        <v>13</v>
      </c>
      <c r="H28" t="s">
        <v>13</v>
      </c>
    </row>
    <row r="29" spans="1:8" x14ac:dyDescent="0.25">
      <c r="A29">
        <v>8</v>
      </c>
      <c r="B29">
        <v>23300</v>
      </c>
      <c r="C29">
        <v>111</v>
      </c>
      <c r="D29">
        <v>10.5</v>
      </c>
      <c r="E29" t="s">
        <v>13</v>
      </c>
      <c r="F29" t="s">
        <v>13</v>
      </c>
      <c r="G29" t="s">
        <v>13</v>
      </c>
      <c r="H29" t="s">
        <v>13</v>
      </c>
    </row>
    <row r="30" spans="1:8" x14ac:dyDescent="0.25">
      <c r="A30">
        <v>10</v>
      </c>
      <c r="B30">
        <v>23300</v>
      </c>
      <c r="C30">
        <v>138</v>
      </c>
      <c r="D30">
        <v>11.7</v>
      </c>
      <c r="E30" t="s">
        <v>13</v>
      </c>
      <c r="F30" t="s">
        <v>13</v>
      </c>
      <c r="G30" t="s">
        <v>13</v>
      </c>
      <c r="H30" t="s">
        <v>13</v>
      </c>
    </row>
    <row r="31" spans="1:8" x14ac:dyDescent="0.25">
      <c r="A31">
        <v>12.08</v>
      </c>
      <c r="B31">
        <v>23300</v>
      </c>
      <c r="C31">
        <v>167</v>
      </c>
      <c r="D31">
        <v>12.9</v>
      </c>
      <c r="E31" t="s">
        <v>13</v>
      </c>
      <c r="F31" t="s">
        <v>13</v>
      </c>
      <c r="G31" t="s">
        <v>13</v>
      </c>
      <c r="H3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A88C-7461-44C4-BE76-9F1E41B7CE39}">
  <dimension ref="A1:F9"/>
  <sheetViews>
    <sheetView workbookViewId="0">
      <selection activeCell="C29" sqref="C29"/>
    </sheetView>
  </sheetViews>
  <sheetFormatPr defaultRowHeight="15" x14ac:dyDescent="0.25"/>
  <sheetData>
    <row r="1" spans="1:6" x14ac:dyDescent="0.25">
      <c r="A1" t="s">
        <v>9</v>
      </c>
      <c r="B1" t="s">
        <v>29</v>
      </c>
      <c r="C1" t="s">
        <v>43</v>
      </c>
      <c r="D1" t="s">
        <v>41</v>
      </c>
      <c r="E1" t="s">
        <v>44</v>
      </c>
      <c r="F1" t="s">
        <v>45</v>
      </c>
    </row>
    <row r="2" spans="1:6" x14ac:dyDescent="0.25">
      <c r="A2">
        <v>4000</v>
      </c>
      <c r="B2">
        <f>SQRT(A2)</f>
        <v>63.245553203367585</v>
      </c>
      <c r="C2">
        <v>10</v>
      </c>
      <c r="D2">
        <v>3.9249999999999998</v>
      </c>
      <c r="E2">
        <v>0.435</v>
      </c>
      <c r="F2">
        <v>2.93</v>
      </c>
    </row>
    <row r="3" spans="1:6" x14ac:dyDescent="0.25">
      <c r="A3">
        <v>4000</v>
      </c>
      <c r="B3">
        <f t="shared" ref="B3:B9" si="0">SQRT(A3)</f>
        <v>63.245553203367585</v>
      </c>
      <c r="C3">
        <v>15</v>
      </c>
      <c r="D3">
        <v>5.9249999999999998</v>
      </c>
      <c r="E3">
        <v>0.44</v>
      </c>
      <c r="F3">
        <v>2.88</v>
      </c>
    </row>
    <row r="4" spans="1:6" x14ac:dyDescent="0.25">
      <c r="A4">
        <v>6100</v>
      </c>
      <c r="B4">
        <f t="shared" si="0"/>
        <v>78.10249675906654</v>
      </c>
      <c r="C4">
        <v>10</v>
      </c>
      <c r="D4">
        <v>3.2650000000000001</v>
      </c>
      <c r="E4">
        <v>0.46</v>
      </c>
      <c r="F4">
        <v>3.33</v>
      </c>
    </row>
    <row r="5" spans="1:6" x14ac:dyDescent="0.25">
      <c r="A5">
        <v>6100</v>
      </c>
      <c r="B5">
        <f t="shared" si="0"/>
        <v>78.10249675906654</v>
      </c>
      <c r="C5">
        <v>15</v>
      </c>
      <c r="D5">
        <v>4.91</v>
      </c>
      <c r="E5">
        <v>0.45</v>
      </c>
      <c r="F5">
        <v>3.39</v>
      </c>
    </row>
    <row r="6" spans="1:6" x14ac:dyDescent="0.25">
      <c r="A6">
        <v>16700</v>
      </c>
      <c r="B6">
        <f t="shared" si="0"/>
        <v>129.22847983320085</v>
      </c>
      <c r="C6">
        <v>20</v>
      </c>
      <c r="D6">
        <v>4.3099999999999996</v>
      </c>
      <c r="E6">
        <v>0.46</v>
      </c>
      <c r="F6">
        <v>5.04</v>
      </c>
    </row>
    <row r="7" spans="1:6" x14ac:dyDescent="0.25">
      <c r="A7">
        <v>16700</v>
      </c>
      <c r="B7">
        <f t="shared" si="0"/>
        <v>129.22847983320085</v>
      </c>
      <c r="C7">
        <v>40</v>
      </c>
      <c r="D7">
        <v>8.59</v>
      </c>
      <c r="E7">
        <v>0.45</v>
      </c>
      <c r="F7">
        <v>5.17</v>
      </c>
    </row>
    <row r="8" spans="1:6" x14ac:dyDescent="0.25">
      <c r="A8">
        <v>23300</v>
      </c>
      <c r="B8">
        <f t="shared" si="0"/>
        <v>152.64337522473747</v>
      </c>
      <c r="C8">
        <v>20</v>
      </c>
      <c r="D8">
        <v>3.61</v>
      </c>
      <c r="E8">
        <v>0.46</v>
      </c>
      <c r="F8">
        <v>6.03</v>
      </c>
    </row>
    <row r="9" spans="1:6" x14ac:dyDescent="0.25">
      <c r="A9">
        <v>23300</v>
      </c>
      <c r="B9">
        <f t="shared" si="0"/>
        <v>152.64337522473747</v>
      </c>
      <c r="C9">
        <v>40</v>
      </c>
      <c r="D9">
        <v>7.41</v>
      </c>
      <c r="E9">
        <v>0.46</v>
      </c>
      <c r="F9">
        <v>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</vt:lpstr>
      <vt:lpstr>Figure 6a</vt:lpstr>
      <vt:lpstr>Figure 5</vt:lpstr>
      <vt:lpstr>Table 1</vt:lpstr>
      <vt:lpstr>Table 2</vt:lpstr>
      <vt:lpstr>Table 3</vt:lpstr>
      <vt:lpstr>Table 8a</vt:lpstr>
      <vt:lpstr>Table 8b</vt:lpstr>
      <vt:lpstr>Table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Walker</dc:creator>
  <cp:lastModifiedBy>Michael Walker</cp:lastModifiedBy>
  <dcterms:created xsi:type="dcterms:W3CDTF">2019-03-25T12:02:56Z</dcterms:created>
  <dcterms:modified xsi:type="dcterms:W3CDTF">2026-08-22T23:48:54Z</dcterms:modified>
</cp:coreProperties>
</file>